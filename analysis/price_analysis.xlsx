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_price_analysis" sheetId="1" r:id="rId4"/>
    <sheet state="visible" name="promos" sheetId="2" r:id="rId5"/>
    <sheet state="hidden" name="Copy of seat_price_analysis" sheetId="3" r:id="rId6"/>
  </sheets>
  <definedNames/>
  <calcPr/>
  <extLst>
    <ext uri="GoogleSheetsCustomDataVersion2">
      <go:sheetsCustomData xmlns:go="http://customooxmlschemas.google.com/" r:id="rId7" roundtripDataChecksum="STquK4aAuPzm4TiBcRR+1cF2KxRV7F+GESAeoVC406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4">
      <text>
        <t xml:space="preserve">The Formula: New Price Utility = Current Price Utility + ((Current Price - Suggested Price) * 0.03687)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1">
      <text>
        <t xml:space="preserve">calculated on the previous tab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4">
      <text>
        <t xml:space="preserve">The Formula: New Price Utility = Current Price Utility + ((Current Price - Suggested Price) * 0.03687)
======</t>
      </text>
    </comment>
  </commentList>
</comments>
</file>

<file path=xl/sharedStrings.xml><?xml version="1.0" encoding="utf-8"?>
<sst xmlns="http://schemas.openxmlformats.org/spreadsheetml/2006/main" count="519" uniqueCount="144">
  <si>
    <t>3-game</t>
  </si>
  <si>
    <t>6-game</t>
  </si>
  <si>
    <t>10-game</t>
  </si>
  <si>
    <t>$15 Per Seat Per Game</t>
  </si>
  <si>
    <t>$25 Per Seat Per Game</t>
  </si>
  <si>
    <t>$35 Per Seat Per Game</t>
  </si>
  <si>
    <t>$60 Per Seat Per Game</t>
  </si>
  <si>
    <t>300 Behind the Baskets</t>
  </si>
  <si>
    <t>300 Corner</t>
  </si>
  <si>
    <t>300 Midcourt</t>
  </si>
  <si>
    <t>200 Midcourt</t>
  </si>
  <si>
    <t>Priority Playoff Tickets</t>
  </si>
  <si>
    <t>Hot Dog and Soda</t>
  </si>
  <si>
    <t>Trail Blazers Apparel</t>
  </si>
  <si>
    <t>$20 Gift Certificiate</t>
  </si>
  <si>
    <t>No Promotion</t>
  </si>
  <si>
    <t>&lt;--- UNTOUCHED RAW DATA</t>
  </si>
  <si>
    <t>THESE ARE GIVEN</t>
  </si>
  <si>
    <t>Transposed the data above</t>
  </si>
  <si>
    <t>check</t>
  </si>
  <si>
    <t>Utility</t>
  </si>
  <si>
    <t>Number of Games</t>
  </si>
  <si>
    <t>3-game create-your-own pack, including one elite team and two very good teams</t>
  </si>
  <si>
    <t>6-game create-your-own pack, including two elite teams and four very good teams</t>
  </si>
  <si>
    <t>–0.2764</t>
  </si>
  <si>
    <t>10-game create-your-own pack, including any combination of teams.</t>
  </si>
  <si>
    <t>Ticket Price</t>
  </si>
  <si>
    <t>$15 per seat per game</t>
  </si>
  <si>
    <t>&lt;--- Given from the case file 
and prof's word doc of instructions</t>
  </si>
  <si>
    <t>$25 per seat per game</t>
  </si>
  <si>
    <t>$35 per seat per game</t>
  </si>
  <si>
    <t>–1.00257</t>
  </si>
  <si>
    <t>$60 per seat per game</t>
  </si>
  <si>
    <t>Ticket Location</t>
  </si>
  <si>
    <t>–0.73169</t>
  </si>
  <si>
    <t>300 level, behind the baskets</t>
  </si>
  <si>
    <t>–0.43716</t>
  </si>
  <si>
    <t>300 level, on the corners</t>
  </si>
  <si>
    <t>300 level, midcourt</t>
  </si>
  <si>
    <t>&lt;--- from Darden case pdf file</t>
  </si>
  <si>
    <t>200 level, midcourt</t>
  </si>
  <si>
    <t>Promotional Item</t>
  </si>
  <si>
    <t>Priority for home playoff tickets</t>
  </si>
  <si>
    <t>Hot dog and soda with each ticket</t>
  </si>
  <si>
    <t>Trail Blazer apparel (hat, jersey, etc.)</t>
  </si>
  <si>
    <t>$20 gift certificate for popular local restaurant</t>
  </si>
  <si>
    <t>−0.31786</t>
  </si>
  <si>
    <t>No promotional item</t>
  </si>
  <si>
    <t>Data source: All data provided by the Portland Trail Blazers.</t>
  </si>
  <si>
    <t>INITIAL CALCULATION - lower/increase price to the next tier to see initial effect</t>
  </si>
  <si>
    <t xml:space="preserve">Table 1: 300 Level Behind Basket </t>
  </si>
  <si>
    <t>Fixed Cost</t>
  </si>
  <si>
    <t>Metric</t>
  </si>
  <si>
    <t>% effect</t>
  </si>
  <si>
    <t>Lower (N/A)</t>
  </si>
  <si>
    <t>Base</t>
  </si>
  <si>
    <t>Increase</t>
  </si>
  <si>
    <t>cant go</t>
  </si>
  <si>
    <t>Total Utility</t>
  </si>
  <si>
    <t>—</t>
  </si>
  <si>
    <t>lower</t>
  </si>
  <si>
    <t>Margin per Ticket</t>
  </si>
  <si>
    <r>
      <rPr>
        <rFont val="Arial"/>
        <color theme="1"/>
        <sz val="12.0"/>
      </rPr>
      <t xml:space="preserve">Verdict: </t>
    </r>
    <r>
      <rPr>
        <rFont val="Arial"/>
        <b/>
        <color rgb="FF0000FF"/>
        <sz val="12.0"/>
      </rPr>
      <t>HOLD</t>
    </r>
    <r>
      <rPr>
        <rFont val="Arial"/>
        <color theme="1"/>
        <sz val="12.0"/>
      </rPr>
      <t>. While the margin increases by 200%, the nearly 600% drop in fan appeal is too high for the budget-conscious tier.</t>
    </r>
  </si>
  <si>
    <t xml:space="preserve">Table 2: 300 Level Corner </t>
  </si>
  <si>
    <t>Lower</t>
  </si>
  <si>
    <r>
      <rPr>
        <rFont val="Arial"/>
        <i/>
        <color theme="1"/>
        <sz val="12.0"/>
      </rPr>
      <t>Initial</t>
    </r>
    <r>
      <rPr>
        <rFont val="Arial"/>
        <color theme="1"/>
        <sz val="12.0"/>
      </rPr>
      <t xml:space="preserve"> verdict: </t>
    </r>
    <r>
      <rPr>
        <rFont val="Arial"/>
        <i/>
        <color rgb="FF0000FF"/>
        <sz val="12.0"/>
      </rPr>
      <t>RAISE</t>
    </r>
    <r>
      <rPr>
        <rFont val="Arial"/>
        <i/>
        <color theme="1"/>
        <sz val="12.0"/>
      </rPr>
      <t xml:space="preserve"> or </t>
    </r>
    <r>
      <rPr>
        <rFont val="Arial"/>
        <i/>
        <color rgb="FF0000FF"/>
        <sz val="12.0"/>
      </rPr>
      <t>LOWER</t>
    </r>
    <r>
      <rPr>
        <rFont val="Arial"/>
        <i/>
        <color theme="1"/>
        <sz val="12.0"/>
      </rPr>
      <t xml:space="preserve"> price -- needs further analysis</t>
    </r>
    <r>
      <rPr>
        <rFont val="Arial"/>
        <color theme="1"/>
        <sz val="12.0"/>
      </rPr>
      <t>. This initially looks like an "Underpriced Asset". The 77% profit spike ($13 to $23) outweighs the -0.094 utility delta, which is considered mathematically negligible. But we also need to check WTP to determine a more balanced price that will make sense</t>
    </r>
  </si>
  <si>
    <t>Table 3: 300 Level Midcourt</t>
  </si>
  <si>
    <t>Best base tier</t>
  </si>
  <si>
    <r>
      <rPr>
        <rFont val="Arial"/>
        <i/>
        <color theme="1"/>
        <sz val="12.0"/>
      </rPr>
      <t>Initial</t>
    </r>
    <r>
      <rPr>
        <rFont val="Arial"/>
        <color theme="1"/>
        <sz val="12.0"/>
      </rPr>
      <t xml:space="preserve"> Verdict: </t>
    </r>
    <r>
      <rPr>
        <rFont val="Arial"/>
        <i/>
        <color rgb="FF0000FF"/>
        <sz val="12.0"/>
      </rPr>
      <t>ANCHOR</t>
    </r>
    <r>
      <rPr>
        <rFont val="Arial"/>
        <color theme="1"/>
        <sz val="12.0"/>
      </rPr>
      <t xml:space="preserve"> or </t>
    </r>
    <r>
      <rPr>
        <rFont val="Arial"/>
        <i/>
        <color rgb="FF0000FF"/>
        <sz val="12.0"/>
      </rPr>
      <t>RAISE</t>
    </r>
    <r>
      <rPr>
        <rFont val="Arial"/>
        <color theme="1"/>
        <sz val="12.0"/>
      </rPr>
      <t>. $35 is the "Golden Goose". It is the only tier with highly positive fan sentiment (+0.283) while capturing 85% of maximum margin potential.</t>
    </r>
  </si>
  <si>
    <t xml:space="preserve">Table 4: 200 Level Midcourt </t>
  </si>
  <si>
    <t>Increase (N/A)</t>
  </si>
  <si>
    <t>Page 5 of Darden pdf file</t>
  </si>
  <si>
    <t>&lt; $60 (Rule)</t>
  </si>
  <si>
    <r>
      <rPr>
        <rFont val="Arial"/>
        <color theme="1"/>
        <sz val="12.0"/>
      </rPr>
      <t xml:space="preserve">Verdict: </t>
    </r>
    <r>
      <rPr>
        <rFont val="Arial"/>
        <b/>
        <color rgb="FF0000FF"/>
        <sz val="12.0"/>
      </rPr>
      <t>HOLD</t>
    </r>
    <r>
      <rPr>
        <rFont val="Arial"/>
        <color theme="1"/>
        <sz val="12.0"/>
      </rPr>
      <t xml:space="preserve"> (THE CEILING). Management forbids pricing below $60. At $60, the high seat utility (+1.011) is almost entirely neutralized by the price penalty (-1.003), leaving a razor-thin appeal of +0.009.</t>
    </r>
  </si>
  <si>
    <t>-------------&gt;</t>
  </si>
  <si>
    <t>WILLINGNESS TO PAY - to calculate amount we can increase/decrease</t>
  </si>
  <si>
    <t>Utility per dollar</t>
  </si>
  <si>
    <t>price range: $60 - $15 = $45</t>
  </si>
  <si>
    <t>utility range: -1.003 - 0.656 = -1.659</t>
  </si>
  <si>
    <t>across a $45 change in price, utility moves by -1.659 units</t>
  </si>
  <si>
    <t xml:space="preserve">utility per dollar = -1.659 / 45 = -0.03687 per dollar </t>
  </si>
  <si>
    <t>every extra $1 in price costs fans 0.03687 units of utility</t>
  </si>
  <si>
    <t>1/0.03687 = $27.12 per utility unit</t>
  </si>
  <si>
    <t>exchange rate</t>
  </si>
  <si>
    <t>WTP for each seat location</t>
  </si>
  <si>
    <t>baseline = 300 behind baskets (-0.732)</t>
  </si>
  <si>
    <t>Localization</t>
  </si>
  <si>
    <t>Utility vs baseline</t>
  </si>
  <si>
    <t>WTP above baseline</t>
  </si>
  <si>
    <t>300 behind baskets</t>
  </si>
  <si>
    <t>0 (reference)</t>
  </si>
  <si>
    <t>300 corner</t>
  </si>
  <si>
    <t>300 midcourt</t>
  </si>
  <si>
    <t>200 midcourt</t>
  </si>
  <si>
    <t>WTP VS. what they actually pay</t>
  </si>
  <si>
    <t>Current price</t>
  </si>
  <si>
    <t>Premium over $15</t>
  </si>
  <si>
    <t>Gap</t>
  </si>
  <si>
    <t>premium over $15 = how much extra fans are paying compared to the cheapest option</t>
  </si>
  <si>
    <t>WTP above baseline = how much extra fans are willing to pay for that location vs. the cheapest seats</t>
  </si>
  <si>
    <t>overpriced</t>
  </si>
  <si>
    <t>underpriced</t>
  </si>
  <si>
    <t xml:space="preserve">MARGINS if based purely on data </t>
  </si>
  <si>
    <t>Margin per ticket</t>
  </si>
  <si>
    <t>Fixed costs</t>
  </si>
  <si>
    <t>Suggested price</t>
  </si>
  <si>
    <t>FINAL RECOMMENDATIONS</t>
  </si>
  <si>
    <t>location utility</t>
  </si>
  <si>
    <t>old price utility</t>
  </si>
  <si>
    <t>Net Utility</t>
  </si>
  <si>
    <t>new price utility</t>
  </si>
  <si>
    <t>Utility %effect</t>
  </si>
  <si>
    <t>$% effect</t>
  </si>
  <si>
    <t>VERDICT</t>
  </si>
  <si>
    <t>current price utility</t>
  </si>
  <si>
    <t>current price</t>
  </si>
  <si>
    <t>suggested price</t>
  </si>
  <si>
    <t>utility per $</t>
  </si>
  <si>
    <t>HOLD</t>
  </si>
  <si>
    <t>DECREASE</t>
  </si>
  <si>
    <t>INCREASE</t>
  </si>
  <si>
    <t>Promotional ROI Calculation Table</t>
  </si>
  <si>
    <t>Raw Utility</t>
  </si>
  <si>
    <t>Exchange Rate per utility unit</t>
  </si>
  <si>
    <t>Perceived Value (WTP)</t>
  </si>
  <si>
    <t>Team Cost</t>
  </si>
  <si>
    <t>Net Margin</t>
  </si>
  <si>
    <t>Playoff Priority</t>
  </si>
  <si>
    <t>Hot Dog &amp; Soda</t>
  </si>
  <si>
    <t>$20 Gift Cert.</t>
  </si>
  <si>
    <t>Apparel</t>
  </si>
  <si>
    <t>Promotional Cost-Utility Analysis Table</t>
  </si>
  <si>
    <t>Utility Gain (vs. No Promo)</t>
  </si>
  <si>
    <t>Cost to Team</t>
  </si>
  <si>
    <t>Cost per Unit of Utility</t>
  </si>
  <si>
    <t>Decision</t>
  </si>
  <si>
    <t>Infinite ROI</t>
  </si>
  <si>
    <t>KEEP</t>
  </si>
  <si>
    <t>$20 Gift Certificate</t>
  </si>
  <si>
    <t>REMOVE</t>
  </si>
  <si>
    <r>
      <rPr>
        <rFont val="Arial"/>
        <color theme="1"/>
        <sz val="12.0"/>
      </rPr>
      <t xml:space="preserve">Verdict: </t>
    </r>
    <r>
      <rPr>
        <rFont val="Arial"/>
        <b/>
        <color rgb="FF0000FF"/>
        <sz val="12.0"/>
      </rPr>
      <t>HOLD</t>
    </r>
    <r>
      <rPr>
        <rFont val="Arial"/>
        <color theme="1"/>
        <sz val="12.0"/>
      </rPr>
      <t>. While the margin increases by 200%, the nearly 600% drop in fan appeal is too high for the budget-conscious tier.</t>
    </r>
  </si>
  <si>
    <r>
      <rPr>
        <rFont val="Arial"/>
        <i/>
        <color theme="1"/>
        <sz val="12.0"/>
      </rPr>
      <t>Initial</t>
    </r>
    <r>
      <rPr>
        <rFont val="Arial"/>
        <color theme="1"/>
        <sz val="12.0"/>
      </rPr>
      <t xml:space="preserve"> verdict: </t>
    </r>
    <r>
      <rPr>
        <rFont val="Arial"/>
        <i/>
        <color rgb="FF0000FF"/>
        <sz val="12.0"/>
      </rPr>
      <t>RAISE</t>
    </r>
    <r>
      <rPr>
        <rFont val="Arial"/>
        <i/>
        <color theme="1"/>
        <sz val="12.0"/>
      </rPr>
      <t xml:space="preserve"> or </t>
    </r>
    <r>
      <rPr>
        <rFont val="Arial"/>
        <i/>
        <color rgb="FF0000FF"/>
        <sz val="12.0"/>
      </rPr>
      <t>LOWER</t>
    </r>
    <r>
      <rPr>
        <rFont val="Arial"/>
        <i/>
        <color theme="1"/>
        <sz val="12.0"/>
      </rPr>
      <t xml:space="preserve"> price -- needs further analysis</t>
    </r>
    <r>
      <rPr>
        <rFont val="Arial"/>
        <color theme="1"/>
        <sz val="12.0"/>
      </rPr>
      <t>. This initially looks like an "Underpriced Asset". The 77% profit spike ($13 to $23) outweighs the -0.094 utility delta, which is considered mathematically negligible. But we also need to check WTP to determine a more balanced price that will make sense</t>
    </r>
  </si>
  <si>
    <r>
      <rPr>
        <rFont val="Arial"/>
        <i/>
        <color theme="1"/>
        <sz val="12.0"/>
      </rPr>
      <t>Initial</t>
    </r>
    <r>
      <rPr>
        <rFont val="Arial"/>
        <color theme="1"/>
        <sz val="12.0"/>
      </rPr>
      <t xml:space="preserve"> Verdict: </t>
    </r>
    <r>
      <rPr>
        <rFont val="Arial"/>
        <i/>
        <color rgb="FF0000FF"/>
        <sz val="12.0"/>
      </rPr>
      <t>ANCHOR</t>
    </r>
    <r>
      <rPr>
        <rFont val="Arial"/>
        <color theme="1"/>
        <sz val="12.0"/>
      </rPr>
      <t xml:space="preserve"> or </t>
    </r>
    <r>
      <rPr>
        <rFont val="Arial"/>
        <i/>
        <color rgb="FF0000FF"/>
        <sz val="12.0"/>
      </rPr>
      <t>RAISE</t>
    </r>
    <r>
      <rPr>
        <rFont val="Arial"/>
        <color theme="1"/>
        <sz val="12.0"/>
      </rPr>
      <t>. $35 is the "Golden Goose". It is the only tier with highly positive fan sentiment (+0.283) while capturing 85% of maximum margin potential.</t>
    </r>
  </si>
  <si>
    <r>
      <rPr>
        <rFont val="Arial"/>
        <color theme="1"/>
        <sz val="12.0"/>
      </rPr>
      <t xml:space="preserve">Verdict: </t>
    </r>
    <r>
      <rPr>
        <rFont val="Arial"/>
        <b/>
        <color rgb="FF0000FF"/>
        <sz val="12.0"/>
      </rPr>
      <t>HOLD</t>
    </r>
    <r>
      <rPr>
        <rFont val="Arial"/>
        <color theme="1"/>
        <sz val="12.0"/>
      </rPr>
      <t xml:space="preserve"> (THE CEILING). Management forbids pricing below $60. At $60, the high seat utility (+1.011) is almost entirely neutralized by the price penalty (-1.003), leaving a razor-thin appeal of +0.009.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</si>
</sst>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_);_(* \(#,##0.00\);_(* &quot;-&quot;??_);_(@_)"/>
    <numFmt numFmtId="165" formatCode="&quot;$&quot;#,##0_);[Red]\(&quot;$&quot;#,##0\)"/>
    <numFmt numFmtId="166" formatCode="&quot;$&quot;#,##0.00_);[Red]\(&quot;$&quot;#,##0.00\)"/>
    <numFmt numFmtId="167" formatCode="&quot;$&quot;#,##0"/>
    <numFmt numFmtId="168" formatCode="&quot;$&quot;#,##0.00"/>
    <numFmt numFmtId="169" formatCode="0.000"/>
    <numFmt numFmtId="170" formatCode="#,##0.000"/>
  </numFmts>
  <fonts count="31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rgb="FFFF0000"/>
      <name val="Aptos Narrow"/>
    </font>
    <font>
      <color theme="1"/>
      <name val="Aptos Narrow"/>
      <scheme val="minor"/>
    </font>
    <font>
      <b/>
      <sz val="11.0"/>
      <color theme="1"/>
      <name val="Times New Roman"/>
    </font>
    <font>
      <sz val="10.0"/>
      <color theme="1"/>
      <name val="Aptos Narrow"/>
    </font>
    <font>
      <sz val="11.0"/>
      <color theme="1"/>
      <name val="Times New Roman"/>
    </font>
    <font>
      <sz val="12.0"/>
      <color rgb="FFFF0000"/>
      <name val="Arial"/>
    </font>
    <font>
      <sz val="10.0"/>
      <color theme="1"/>
      <name val="Times New Roman"/>
    </font>
    <font>
      <sz val="12.0"/>
      <color theme="0"/>
      <name val="Aptos Narrow"/>
    </font>
    <font>
      <sz val="12.0"/>
      <color rgb="FFFFFFFF"/>
      <name val="Arial"/>
    </font>
    <font>
      <sz val="10.0"/>
      <color theme="0"/>
      <name val="Times New Roman"/>
    </font>
    <font>
      <b/>
      <sz val="12.0"/>
      <color theme="1"/>
      <name val="Aptos Narrow"/>
    </font>
    <font>
      <b/>
      <sz val="12.0"/>
      <color rgb="FF47D45A"/>
      <name val="Aptos Narrow"/>
    </font>
    <font>
      <i/>
      <sz val="12.0"/>
      <color theme="1"/>
      <name val="Aptos Narrow"/>
    </font>
    <font>
      <sz val="12.0"/>
      <color theme="9"/>
      <name val="Aptos Narrow"/>
    </font>
    <font>
      <sz val="12.0"/>
      <color theme="1"/>
      <name val="Arial"/>
    </font>
    <font>
      <color theme="1"/>
      <name val="Arial"/>
    </font>
    <font>
      <b/>
      <sz val="12.0"/>
      <color rgb="FFB45F06"/>
      <name val="Aptos Narrow"/>
    </font>
    <font/>
    <font>
      <color rgb="FFFF0000"/>
      <name val="Arial"/>
    </font>
    <font>
      <b/>
      <color theme="1"/>
      <name val="Arial"/>
    </font>
    <font>
      <color rgb="FF999999"/>
      <name val="Aptos Narrow"/>
      <scheme val="minor"/>
    </font>
    <font>
      <color rgb="FF000000"/>
      <name val="Arial"/>
    </font>
    <font>
      <color rgb="FF999999"/>
      <name val="Arial"/>
    </font>
    <font>
      <sz val="11.0"/>
      <color theme="1"/>
      <name val="Arial"/>
    </font>
    <font>
      <color rgb="FF000000"/>
      <name val="Aptos Narrow"/>
      <scheme val="minor"/>
    </font>
    <font>
      <b/>
      <color rgb="FFFF0000"/>
      <name val="Arial"/>
    </font>
    <font>
      <color rgb="FFFFFFFF"/>
      <name val="Aptos Narrow"/>
      <scheme val="minor"/>
    </font>
    <font>
      <b/>
      <color theme="1"/>
      <name val="Aptos Narrow"/>
      <scheme val="minor"/>
    </font>
    <font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595959"/>
        <bgColor rgb="FF595959"/>
      </patternFill>
    </fill>
    <fill>
      <patternFill patternType="solid">
        <fgColor rgb="FFD0D0D0"/>
        <bgColor rgb="FFD0D0D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</fills>
  <borders count="37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FF9900"/>
      </left>
      <top style="thick">
        <color rgb="FFFF9900"/>
      </top>
    </border>
    <border>
      <top style="thick">
        <color rgb="FFFF9900"/>
      </top>
    </border>
    <border>
      <right style="thick">
        <color rgb="FFFF9900"/>
      </right>
      <top style="thick">
        <color rgb="FFFF9900"/>
      </top>
    </border>
    <border>
      <left style="thick">
        <color rgb="FFFF9900"/>
      </left>
    </border>
    <border>
      <right style="thick">
        <color rgb="FFFF9900"/>
      </right>
    </border>
    <border>
      <left style="thick">
        <color rgb="FFFF9900"/>
      </left>
      <right/>
      <top/>
      <bottom/>
    </border>
    <border>
      <left style="thick">
        <color rgb="FFFF9900"/>
      </left>
      <bottom style="thick">
        <color rgb="FFFF9900"/>
      </bottom>
    </border>
    <border>
      <bottom style="thick">
        <color rgb="FFFF9900"/>
      </bottom>
    </border>
    <border>
      <right style="thick">
        <color rgb="FFFF9900"/>
      </right>
      <bottom style="thick">
        <color rgb="FFFF99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00FF"/>
      </left>
      <right style="thick">
        <color rgb="FFFF00FF"/>
      </right>
      <top style="thick">
        <color rgb="FFFF00FF"/>
      </top>
      <bottom style="medium">
        <color rgb="FF000000"/>
      </bottom>
    </border>
    <border>
      <left style="thick">
        <color rgb="FFFF00FF"/>
      </left>
      <right style="thick">
        <color rgb="FFFF00FF"/>
      </right>
    </border>
    <border>
      <left style="thick">
        <color rgb="FFFF00FF"/>
      </left>
      <right style="thick">
        <color rgb="FFFF00FF"/>
      </right>
      <bottom style="thick">
        <color rgb="FFFF00FF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vertical="center"/>
    </xf>
    <xf borderId="1" fillId="3" fontId="1" numFmtId="0" xfId="0" applyBorder="1" applyFill="1" applyFont="1"/>
    <xf borderId="1" fillId="3" fontId="5" numFmtId="0" xfId="0" applyBorder="1" applyFont="1"/>
    <xf borderId="4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vertical="center"/>
    </xf>
    <xf borderId="5" fillId="2" fontId="6" numFmtId="0" xfId="0" applyAlignment="1" applyBorder="1" applyFont="1">
      <alignment horizontal="center" vertical="center"/>
    </xf>
    <xf borderId="6" fillId="3" fontId="1" numFmtId="0" xfId="0" applyBorder="1" applyFont="1"/>
    <xf borderId="7" fillId="2" fontId="6" numFmtId="0" xfId="0" applyAlignment="1" applyBorder="1" applyFont="1">
      <alignment horizontal="center" vertical="center"/>
    </xf>
    <xf borderId="1" fillId="4" fontId="1" numFmtId="0" xfId="0" applyBorder="1" applyFill="1" applyFont="1"/>
    <xf borderId="1" fillId="4" fontId="5" numFmtId="0" xfId="0" applyBorder="1" applyFont="1"/>
    <xf borderId="8" fillId="2" fontId="4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vertical="center"/>
    </xf>
    <xf borderId="1" fillId="5" fontId="1" numFmtId="0" xfId="0" applyBorder="1" applyFill="1" applyFont="1"/>
    <xf borderId="1" fillId="5" fontId="5" numFmtId="0" xfId="0" applyBorder="1" applyFont="1"/>
    <xf borderId="0" fillId="0" fontId="7" numFmtId="0" xfId="0" applyAlignment="1" applyFont="1">
      <alignment readingOrder="0"/>
    </xf>
    <xf borderId="1" fillId="5" fontId="1" numFmtId="164" xfId="0" applyBorder="1" applyFont="1" applyNumberFormat="1"/>
    <xf borderId="1" fillId="6" fontId="1" numFmtId="0" xfId="0" applyBorder="1" applyFill="1" applyFont="1"/>
    <xf borderId="1" fillId="6" fontId="5" numFmtId="0" xfId="0" applyBorder="1" applyFont="1"/>
    <xf borderId="1" fillId="2" fontId="8" numFmtId="0" xfId="0" applyBorder="1" applyFont="1"/>
    <xf borderId="0" fillId="0" fontId="8" numFmtId="0" xfId="0" applyFont="1"/>
    <xf borderId="0" fillId="0" fontId="1" numFmtId="0" xfId="0" applyFont="1"/>
    <xf borderId="1" fillId="7" fontId="9" numFmtId="0" xfId="0" applyAlignment="1" applyBorder="1" applyFill="1" applyFont="1">
      <alignment horizontal="center"/>
    </xf>
    <xf borderId="1" fillId="7" fontId="9" numFmtId="0" xfId="0" applyBorder="1" applyFont="1"/>
    <xf borderId="1" fillId="7" fontId="10" numFmtId="0" xfId="0" applyAlignment="1" applyBorder="1" applyFont="1">
      <alignment horizontal="center" readingOrder="0"/>
    </xf>
    <xf borderId="1" fillId="7" fontId="11" numFmtId="0" xfId="0" applyBorder="1" applyFont="1"/>
    <xf borderId="0" fillId="0" fontId="12" numFmtId="0" xfId="0" applyFont="1"/>
    <xf borderId="0" fillId="0" fontId="1" numFmtId="165" xfId="0" applyAlignment="1" applyFont="1" applyNumberFormat="1">
      <alignment horizontal="left"/>
    </xf>
    <xf borderId="9" fillId="0" fontId="1" numFmtId="0" xfId="0" applyBorder="1" applyFont="1"/>
    <xf borderId="10" fillId="0" fontId="12" numFmtId="0" xfId="0" applyAlignment="1" applyBorder="1" applyFont="1">
      <alignment horizontal="center"/>
    </xf>
    <xf borderId="11" fillId="0" fontId="13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left"/>
    </xf>
    <xf borderId="0" fillId="0" fontId="12" numFmtId="0" xfId="0" applyAlignment="1" applyFont="1">
      <alignment horizontal="center"/>
    </xf>
    <xf borderId="12" fillId="0" fontId="1" numFmtId="0" xfId="0" applyAlignment="1" applyBorder="1" applyFont="1">
      <alignment horizontal="center"/>
    </xf>
    <xf borderId="13" fillId="0" fontId="14" numFmtId="0" xfId="0" applyAlignment="1" applyBorder="1" applyFont="1">
      <alignment horizontal="center"/>
    </xf>
    <xf borderId="14" fillId="0" fontId="1" numFmtId="166" xfId="0" applyAlignment="1" applyBorder="1" applyFont="1" applyNumberFormat="1">
      <alignment horizontal="center"/>
    </xf>
    <xf borderId="12" fillId="0" fontId="1" numFmtId="166" xfId="0" applyAlignment="1" applyBorder="1" applyFont="1" applyNumberFormat="1">
      <alignment horizontal="center"/>
    </xf>
    <xf borderId="13" fillId="0" fontId="1" numFmtId="0" xfId="0" applyBorder="1" applyFont="1"/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1" fillId="8" fontId="1" numFmtId="0" xfId="0" applyBorder="1" applyFill="1" applyFont="1"/>
    <xf borderId="3" fillId="8" fontId="1" numFmtId="0" xfId="0" applyAlignment="1" applyBorder="1" applyFont="1">
      <alignment horizontal="center"/>
    </xf>
    <xf borderId="15" fillId="8" fontId="14" numFmtId="0" xfId="0" applyAlignment="1" applyBorder="1" applyFont="1">
      <alignment horizontal="center"/>
    </xf>
    <xf borderId="16" fillId="8" fontId="1" numFmtId="0" xfId="0" applyAlignment="1" applyBorder="1" applyFont="1">
      <alignment horizontal="center"/>
    </xf>
    <xf borderId="15" fillId="8" fontId="2" numFmtId="9" xfId="0" applyAlignment="1" applyBorder="1" applyFont="1" applyNumberFormat="1">
      <alignment horizontal="center"/>
    </xf>
    <xf borderId="17" fillId="8" fontId="1" numFmtId="0" xfId="0" applyAlignment="1" applyBorder="1" applyFont="1">
      <alignment horizontal="center"/>
    </xf>
    <xf borderId="18" fillId="8" fontId="1" numFmtId="0" xfId="0" applyAlignment="1" applyBorder="1" applyFont="1">
      <alignment horizontal="center"/>
    </xf>
    <xf borderId="8" fillId="8" fontId="1" numFmtId="166" xfId="0" applyAlignment="1" applyBorder="1" applyFont="1" applyNumberFormat="1">
      <alignment horizontal="center"/>
    </xf>
    <xf borderId="17" fillId="8" fontId="1" numFmtId="166" xfId="0" applyAlignment="1" applyBorder="1" applyFont="1" applyNumberFormat="1">
      <alignment horizontal="center"/>
    </xf>
    <xf borderId="18" fillId="8" fontId="15" numFmtId="9" xfId="0" applyAlignment="1" applyBorder="1" applyFont="1" applyNumberFormat="1">
      <alignment horizontal="center"/>
    </xf>
    <xf borderId="0" fillId="0" fontId="1" numFmtId="0" xfId="0" applyAlignment="1" applyFont="1">
      <alignment horizontal="left" readingOrder="0" shrinkToFit="0" wrapText="1"/>
    </xf>
    <xf borderId="11" fillId="0" fontId="12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13" fillId="0" fontId="1" numFmtId="166" xfId="0" applyAlignment="1" applyBorder="1" applyFont="1" applyNumberFormat="1">
      <alignment horizontal="center"/>
    </xf>
    <xf borderId="3" fillId="8" fontId="15" numFmtId="9" xfId="0" applyAlignment="1" applyBorder="1" applyFont="1" applyNumberFormat="1">
      <alignment horizontal="center"/>
    </xf>
    <xf borderId="15" fillId="8" fontId="1" numFmtId="0" xfId="0" applyAlignment="1" applyBorder="1" applyFont="1">
      <alignment horizontal="center"/>
    </xf>
    <xf borderId="17" fillId="8" fontId="2" numFmtId="9" xfId="0" applyAlignment="1" applyBorder="1" applyFont="1" applyNumberFormat="1">
      <alignment horizontal="center"/>
    </xf>
    <xf borderId="18" fillId="8" fontId="1" numFmtId="166" xfId="0" applyAlignment="1" applyBorder="1" applyFont="1" applyNumberFormat="1">
      <alignment horizontal="center"/>
    </xf>
    <xf borderId="0" fillId="0" fontId="16" numFmtId="0" xfId="0" applyAlignment="1" applyFont="1">
      <alignment horizontal="left" readingOrder="0" shrinkToFit="0" wrapText="1"/>
    </xf>
    <xf borderId="19" fillId="0" fontId="12" numFmtId="0" xfId="0" applyBorder="1" applyFont="1"/>
    <xf borderId="20" fillId="0" fontId="3" numFmtId="0" xfId="0" applyBorder="1" applyFont="1"/>
    <xf borderId="20" fillId="0" fontId="1" numFmtId="165" xfId="0" applyAlignment="1" applyBorder="1" applyFont="1" applyNumberFormat="1">
      <alignment horizontal="left"/>
    </xf>
    <xf borderId="21" fillId="0" fontId="17" numFmtId="0" xfId="0" applyAlignment="1" applyBorder="1" applyFont="1">
      <alignment readingOrder="0"/>
    </xf>
    <xf borderId="22" fillId="0" fontId="12" numFmtId="0" xfId="0" applyBorder="1" applyFont="1"/>
    <xf borderId="23" fillId="0" fontId="3" numFmtId="0" xfId="0" applyBorder="1" applyFont="1"/>
    <xf borderId="22" fillId="0" fontId="1" numFmtId="0" xfId="0" applyBorder="1" applyFont="1"/>
    <xf borderId="24" fillId="8" fontId="1" numFmtId="0" xfId="0" applyBorder="1" applyFont="1"/>
    <xf borderId="16" fillId="8" fontId="18" numFmtId="0" xfId="0" applyAlignment="1" applyBorder="1" applyFont="1">
      <alignment horizontal="center"/>
    </xf>
    <xf borderId="25" fillId="0" fontId="16" numFmtId="0" xfId="0" applyAlignment="1" applyBorder="1" applyFont="1">
      <alignment horizontal="left" readingOrder="0" shrinkToFit="0" wrapText="1"/>
    </xf>
    <xf borderId="26" fillId="0" fontId="19" numFmtId="0" xfId="0" applyBorder="1" applyFont="1"/>
    <xf borderId="27" fillId="0" fontId="3" numFmtId="0" xfId="0" applyBorder="1" applyFont="1"/>
    <xf borderId="0" fillId="0" fontId="20" numFmtId="0" xfId="0" applyAlignment="1" applyFont="1">
      <alignment readingOrder="0"/>
    </xf>
    <xf borderId="13" fillId="0" fontId="1" numFmtId="0" xfId="0" applyAlignment="1" applyBorder="1" applyFont="1">
      <alignment horizontal="center"/>
    </xf>
    <xf borderId="15" fillId="8" fontId="1" numFmtId="9" xfId="0" applyAlignment="1" applyBorder="1" applyFont="1" applyNumberFormat="1">
      <alignment horizontal="center"/>
    </xf>
    <xf borderId="18" fillId="8" fontId="1" numFmtId="9" xfId="0" applyAlignment="1" applyBorder="1" applyFont="1" applyNumberFormat="1">
      <alignment horizontal="center"/>
    </xf>
    <xf borderId="0" fillId="0" fontId="21" numFmtId="0" xfId="0" applyAlignment="1" applyFont="1">
      <alignment readingOrder="0"/>
    </xf>
    <xf borderId="0" fillId="0" fontId="17" numFmtId="0" xfId="0" applyAlignment="1" applyFont="1">
      <alignment readingOrder="0"/>
    </xf>
    <xf borderId="28" fillId="0" fontId="17" numFmtId="0" xfId="0" applyAlignment="1" applyBorder="1" applyFont="1">
      <alignment readingOrder="0"/>
    </xf>
    <xf borderId="29" fillId="0" fontId="17" numFmtId="0" xfId="0" applyAlignment="1" applyBorder="1" applyFont="1">
      <alignment readingOrder="0"/>
    </xf>
    <xf borderId="30" fillId="0" fontId="17" numFmtId="0" xfId="0" applyAlignment="1" applyBorder="1" applyFont="1">
      <alignment readingOrder="0"/>
    </xf>
    <xf borderId="12" fillId="0" fontId="17" numFmtId="0" xfId="0" applyAlignment="1" applyBorder="1" applyFont="1">
      <alignment readingOrder="0"/>
    </xf>
    <xf borderId="13" fillId="0" fontId="17" numFmtId="167" xfId="0" applyAlignment="1" applyBorder="1" applyFont="1" applyNumberFormat="1">
      <alignment readingOrder="0"/>
    </xf>
    <xf borderId="13" fillId="0" fontId="17" numFmtId="168" xfId="0" applyAlignment="1" applyBorder="1" applyFont="1" applyNumberFormat="1">
      <alignment readingOrder="0"/>
    </xf>
    <xf borderId="31" fillId="0" fontId="17" numFmtId="0" xfId="0" applyAlignment="1" applyBorder="1" applyFont="1">
      <alignment readingOrder="0"/>
    </xf>
    <xf borderId="32" fillId="0" fontId="17" numFmtId="0" xfId="0" applyAlignment="1" applyBorder="1" applyFont="1">
      <alignment readingOrder="0"/>
    </xf>
    <xf borderId="33" fillId="0" fontId="17" numFmtId="168" xfId="0" applyAlignment="1" applyBorder="1" applyFont="1" applyNumberFormat="1">
      <alignment readingOrder="0"/>
    </xf>
    <xf borderId="0" fillId="0" fontId="17" numFmtId="167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32" fillId="0" fontId="17" numFmtId="167" xfId="0" applyAlignment="1" applyBorder="1" applyFont="1" applyNumberFormat="1">
      <alignment readingOrder="0"/>
    </xf>
    <xf borderId="32" fillId="0" fontId="3" numFmtId="168" xfId="0" applyAlignment="1" applyBorder="1" applyFont="1" applyNumberFormat="1">
      <alignment readingOrder="0"/>
    </xf>
    <xf borderId="28" fillId="0" fontId="17" numFmtId="0" xfId="0" applyAlignment="1" applyBorder="1" applyFont="1">
      <alignment horizontal="center" readingOrder="0" shrinkToFit="0" vertical="top" wrapText="1"/>
    </xf>
    <xf borderId="29" fillId="4" fontId="17" numFmtId="0" xfId="0" applyAlignment="1" applyBorder="1" applyFont="1">
      <alignment horizontal="center" readingOrder="0" shrinkToFit="0" vertical="top" wrapText="1"/>
    </xf>
    <xf borderId="29" fillId="0" fontId="17" numFmtId="0" xfId="0" applyAlignment="1" applyBorder="1" applyFont="1">
      <alignment horizontal="center" readingOrder="0" shrinkToFit="0" vertical="top" wrapText="1"/>
    </xf>
    <xf borderId="29" fillId="5" fontId="17" numFmtId="0" xfId="0" applyAlignment="1" applyBorder="1" applyFont="1">
      <alignment horizontal="center" readingOrder="0" shrinkToFit="0" vertical="top" wrapText="1"/>
    </xf>
    <xf borderId="30" fillId="0" fontId="17" numFmtId="0" xfId="0" applyAlignment="1" applyBorder="1" applyFont="1">
      <alignment horizontal="center" readingOrder="0" shrinkToFit="0" vertical="top" wrapText="1"/>
    </xf>
    <xf borderId="0" fillId="4" fontId="3" numFmtId="167" xfId="0" applyFont="1" applyNumberFormat="1"/>
    <xf borderId="0" fillId="4" fontId="17" numFmtId="167" xfId="0" applyAlignment="1" applyFont="1" applyNumberFormat="1">
      <alignment readingOrder="0"/>
    </xf>
    <xf borderId="0" fillId="5" fontId="17" numFmtId="167" xfId="0" applyAlignment="1" applyFont="1" applyNumberFormat="1">
      <alignment readingOrder="0"/>
    </xf>
    <xf borderId="0" fillId="5" fontId="3" numFmtId="167" xfId="0" applyFont="1" applyNumberFormat="1"/>
    <xf borderId="13" fillId="0" fontId="3" numFmtId="10" xfId="0" applyBorder="1" applyFont="1" applyNumberFormat="1"/>
    <xf borderId="13" fillId="9" fontId="3" numFmtId="10" xfId="0" applyBorder="1" applyFill="1" applyFont="1" applyNumberFormat="1"/>
    <xf borderId="13" fillId="10" fontId="3" numFmtId="10" xfId="0" applyBorder="1" applyFill="1" applyFont="1" applyNumberFormat="1"/>
    <xf borderId="32" fillId="4" fontId="3" numFmtId="167" xfId="0" applyBorder="1" applyFont="1" applyNumberFormat="1"/>
    <xf borderId="32" fillId="4" fontId="17" numFmtId="167" xfId="0" applyAlignment="1" applyBorder="1" applyFont="1" applyNumberFormat="1">
      <alignment readingOrder="0"/>
    </xf>
    <xf borderId="32" fillId="5" fontId="17" numFmtId="167" xfId="0" applyAlignment="1" applyBorder="1" applyFont="1" applyNumberFormat="1">
      <alignment readingOrder="0"/>
    </xf>
    <xf borderId="32" fillId="5" fontId="3" numFmtId="167" xfId="0" applyBorder="1" applyFont="1" applyNumberFormat="1"/>
    <xf borderId="33" fillId="10" fontId="3" numFmtId="10" xfId="0" applyBorder="1" applyFont="1" applyNumberFormat="1"/>
    <xf borderId="0" fillId="0" fontId="22" numFmtId="0" xfId="0" applyFont="1"/>
    <xf borderId="29" fillId="11" fontId="23" numFmtId="0" xfId="0" applyAlignment="1" applyBorder="1" applyFill="1" applyFont="1">
      <alignment horizontal="center" readingOrder="0" shrinkToFit="0" vertical="top" wrapText="1"/>
    </xf>
    <xf borderId="29" fillId="4" fontId="24" numFmtId="0" xfId="0" applyAlignment="1" applyBorder="1" applyFont="1">
      <alignment horizontal="center" readingOrder="0" shrinkToFit="0" vertical="top" wrapText="1"/>
    </xf>
    <xf borderId="29" fillId="5" fontId="24" numFmtId="0" xfId="0" applyAlignment="1" applyBorder="1" applyFont="1">
      <alignment horizontal="center" readingOrder="0" shrinkToFit="0" vertical="top" wrapText="1"/>
    </xf>
    <xf borderId="29" fillId="2" fontId="25" numFmtId="0" xfId="0" applyAlignment="1" applyBorder="1" applyFont="1">
      <alignment horizontal="center" readingOrder="0" shrinkToFit="0" vertical="top" wrapText="1"/>
    </xf>
    <xf borderId="30" fillId="2" fontId="17" numFmtId="0" xfId="0" applyAlignment="1" applyBorder="1" applyFont="1">
      <alignment horizontal="center" readingOrder="0" shrinkToFit="0" vertical="top" wrapText="1"/>
    </xf>
    <xf borderId="0" fillId="0" fontId="17" numFmtId="0" xfId="0" applyAlignment="1" applyFont="1">
      <alignment horizontal="center" readingOrder="0" shrinkToFit="0" vertical="top" wrapText="1"/>
    </xf>
    <xf borderId="0" fillId="11" fontId="26" numFmtId="169" xfId="0" applyAlignment="1" applyFont="1" applyNumberFormat="1">
      <alignment horizontal="center"/>
    </xf>
    <xf borderId="0" fillId="4" fontId="22" numFmtId="169" xfId="0" applyAlignment="1" applyFont="1" applyNumberFormat="1">
      <alignment horizontal="center"/>
    </xf>
    <xf borderId="0" fillId="4" fontId="3" numFmtId="169" xfId="0" applyAlignment="1" applyFont="1" applyNumberFormat="1">
      <alignment horizontal="center"/>
    </xf>
    <xf borderId="0" fillId="4" fontId="3" numFmtId="167" xfId="0" applyAlignment="1" applyFont="1" applyNumberFormat="1">
      <alignment horizontal="center"/>
    </xf>
    <xf borderId="0" fillId="4" fontId="17" numFmtId="167" xfId="0" applyAlignment="1" applyFont="1" applyNumberFormat="1">
      <alignment horizontal="center" readingOrder="0"/>
    </xf>
    <xf borderId="0" fillId="0" fontId="17" numFmtId="167" xfId="0" applyAlignment="1" applyFont="1" applyNumberFormat="1">
      <alignment horizontal="center" readingOrder="0"/>
    </xf>
    <xf borderId="0" fillId="5" fontId="17" numFmtId="167" xfId="0" applyAlignment="1" applyFont="1" applyNumberFormat="1">
      <alignment horizontal="center" readingOrder="0"/>
    </xf>
    <xf borderId="0" fillId="5" fontId="3" numFmtId="167" xfId="0" applyAlignment="1" applyFont="1" applyNumberFormat="1">
      <alignment horizontal="center"/>
    </xf>
    <xf borderId="0" fillId="5" fontId="22" numFmtId="170" xfId="0" applyAlignment="1" applyFont="1" applyNumberFormat="1">
      <alignment horizontal="center"/>
    </xf>
    <xf borderId="0" fillId="5" fontId="26" numFmtId="17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13" fillId="0" fontId="3" numFmtId="10" xfId="0" applyAlignment="1" applyBorder="1" applyFont="1" applyNumberFormat="1">
      <alignment horizontal="center"/>
    </xf>
    <xf borderId="0" fillId="0" fontId="3" numFmtId="167" xfId="0" applyFont="1" applyNumberFormat="1"/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10" fontId="3" numFmtId="10" xfId="0" applyAlignment="1" applyFont="1" applyNumberFormat="1">
      <alignment horizontal="center"/>
    </xf>
    <xf borderId="13" fillId="9" fontId="3" numFmtId="10" xfId="0" applyAlignment="1" applyBorder="1" applyFont="1" applyNumberFormat="1">
      <alignment horizontal="center"/>
    </xf>
    <xf borderId="0" fillId="5" fontId="27" numFmtId="167" xfId="0" applyAlignment="1" applyFont="1" applyNumberFormat="1">
      <alignment horizontal="center" readingOrder="0"/>
    </xf>
    <xf borderId="0" fillId="9" fontId="3" numFmtId="10" xfId="0" applyAlignment="1" applyFont="1" applyNumberFormat="1">
      <alignment horizontal="center"/>
    </xf>
    <xf borderId="13" fillId="10" fontId="3" numFmtId="10" xfId="0" applyAlignment="1" applyBorder="1" applyFont="1" applyNumberFormat="1">
      <alignment horizontal="center"/>
    </xf>
    <xf borderId="32" fillId="11" fontId="26" numFmtId="169" xfId="0" applyAlignment="1" applyBorder="1" applyFont="1" applyNumberFormat="1">
      <alignment horizontal="center"/>
    </xf>
    <xf borderId="32" fillId="4" fontId="22" numFmtId="169" xfId="0" applyAlignment="1" applyBorder="1" applyFont="1" applyNumberFormat="1">
      <alignment horizontal="center"/>
    </xf>
    <xf borderId="32" fillId="4" fontId="3" numFmtId="169" xfId="0" applyAlignment="1" applyBorder="1" applyFont="1" applyNumberFormat="1">
      <alignment horizontal="center"/>
    </xf>
    <xf borderId="32" fillId="4" fontId="3" numFmtId="167" xfId="0" applyAlignment="1" applyBorder="1" applyFont="1" applyNumberFormat="1">
      <alignment horizontal="center"/>
    </xf>
    <xf borderId="32" fillId="4" fontId="17" numFmtId="167" xfId="0" applyAlignment="1" applyBorder="1" applyFont="1" applyNumberFormat="1">
      <alignment horizontal="center" readingOrder="0"/>
    </xf>
    <xf borderId="32" fillId="0" fontId="17" numFmtId="167" xfId="0" applyAlignment="1" applyBorder="1" applyFont="1" applyNumberFormat="1">
      <alignment horizontal="center" readingOrder="0"/>
    </xf>
    <xf borderId="32" fillId="5" fontId="17" numFmtId="167" xfId="0" applyAlignment="1" applyBorder="1" applyFont="1" applyNumberFormat="1">
      <alignment horizontal="center" readingOrder="0"/>
    </xf>
    <xf borderId="32" fillId="5" fontId="3" numFmtId="167" xfId="0" applyAlignment="1" applyBorder="1" applyFont="1" applyNumberFormat="1">
      <alignment horizontal="center"/>
    </xf>
    <xf borderId="32" fillId="5" fontId="22" numFmtId="170" xfId="0" applyAlignment="1" applyBorder="1" applyFont="1" applyNumberFormat="1">
      <alignment horizontal="center"/>
    </xf>
    <xf borderId="32" fillId="5" fontId="26" numFmtId="170" xfId="0" applyAlignment="1" applyBorder="1" applyFont="1" applyNumberFormat="1">
      <alignment horizontal="center"/>
    </xf>
    <xf borderId="32" fillId="0" fontId="3" numFmtId="10" xfId="0" applyAlignment="1" applyBorder="1" applyFont="1" applyNumberFormat="1">
      <alignment horizontal="center"/>
    </xf>
    <xf borderId="33" fillId="10" fontId="3" numFmtId="10" xfId="0" applyAlignment="1" applyBorder="1" applyFont="1" applyNumberFormat="1">
      <alignment horizontal="center"/>
    </xf>
    <xf borderId="0" fillId="0" fontId="3" numFmtId="169" xfId="0" applyFont="1" applyNumberFormat="1"/>
    <xf borderId="0" fillId="12" fontId="28" numFmtId="0" xfId="0" applyAlignment="1" applyFill="1" applyFont="1">
      <alignment readingOrder="0"/>
    </xf>
    <xf borderId="0" fillId="12" fontId="28" numFmtId="0" xfId="0" applyFont="1"/>
    <xf borderId="0" fillId="12" fontId="28" numFmtId="169" xfId="0" applyFont="1" applyNumberFormat="1"/>
    <xf borderId="0" fillId="0" fontId="29" numFmtId="0" xfId="0" applyAlignment="1" applyFont="1">
      <alignment horizontal="center" readingOrder="0" shrinkToFit="0" vertical="top" wrapText="1"/>
    </xf>
    <xf borderId="0" fillId="0" fontId="21" numFmtId="0" xfId="0" applyAlignment="1" applyFont="1">
      <alignment horizontal="center" readingOrder="0" shrinkToFit="0" vertical="top" wrapText="1"/>
    </xf>
    <xf borderId="0" fillId="0" fontId="29" numFmtId="169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3" numFmtId="168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/>
    </xf>
    <xf borderId="0" fillId="12" fontId="30" numFmtId="0" xfId="0" applyAlignment="1" applyFont="1">
      <alignment readingOrder="0"/>
    </xf>
    <xf borderId="0" fillId="0" fontId="17" numFmtId="168" xfId="0" applyAlignment="1" applyFont="1" applyNumberFormat="1">
      <alignment readingOrder="0"/>
    </xf>
    <xf borderId="34" fillId="5" fontId="17" numFmtId="0" xfId="0" applyAlignment="1" applyBorder="1" applyFont="1">
      <alignment horizontal="center" readingOrder="0" shrinkToFit="0" vertical="top" wrapText="1"/>
    </xf>
    <xf borderId="35" fillId="5" fontId="17" numFmtId="167" xfId="0" applyAlignment="1" applyBorder="1" applyFont="1" applyNumberFormat="1">
      <alignment horizontal="center" readingOrder="0"/>
    </xf>
    <xf borderId="36" fillId="5" fontId="17" numFmtId="167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7</xdr:row>
      <xdr:rowOff>171450</xdr:rowOff>
    </xdr:from>
    <xdr:ext cx="5819775" cy="1133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13</xdr:row>
      <xdr:rowOff>9525</xdr:rowOff>
    </xdr:from>
    <xdr:ext cx="4010025" cy="12954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19</xdr:row>
      <xdr:rowOff>104775</xdr:rowOff>
    </xdr:from>
    <xdr:ext cx="5267325" cy="12382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52</xdr:row>
      <xdr:rowOff>47625</xdr:rowOff>
    </xdr:from>
    <xdr:ext cx="6667500" cy="12382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7</xdr:row>
      <xdr:rowOff>171450</xdr:rowOff>
    </xdr:from>
    <xdr:ext cx="5819775" cy="1133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13</xdr:row>
      <xdr:rowOff>152400</xdr:rowOff>
    </xdr:from>
    <xdr:ext cx="4010025" cy="12954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20</xdr:row>
      <xdr:rowOff>95250</xdr:rowOff>
    </xdr:from>
    <xdr:ext cx="5267325" cy="12382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7</xdr:row>
      <xdr:rowOff>171450</xdr:rowOff>
    </xdr:from>
    <xdr:ext cx="5819775" cy="1133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13</xdr:row>
      <xdr:rowOff>9525</xdr:rowOff>
    </xdr:from>
    <xdr:ext cx="4010025" cy="12954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19</xdr:row>
      <xdr:rowOff>104775</xdr:rowOff>
    </xdr:from>
    <xdr:ext cx="5267325" cy="12382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52</xdr:row>
      <xdr:rowOff>47625</xdr:rowOff>
    </xdr:from>
    <xdr:ext cx="6667500" cy="12382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3" width="9.78"/>
    <col customWidth="1" min="4" max="4" width="12.78"/>
    <col customWidth="1" min="5" max="9" width="9.78"/>
    <col customWidth="1" min="10" max="10" width="9.44"/>
    <col customWidth="1" min="11" max="11" width="10.56"/>
    <col customWidth="1" min="12" max="15" width="11.56"/>
    <col customWidth="1" min="16" max="16" width="11.11"/>
    <col customWidth="1" min="1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15.75" customHeight="1">
      <c r="A2" s="1">
        <v>0.03257</v>
      </c>
      <c r="B2" s="1">
        <v>0.24383</v>
      </c>
      <c r="C2" s="1">
        <v>-0.2764</v>
      </c>
      <c r="D2" s="1">
        <v>0.65646</v>
      </c>
      <c r="E2" s="1">
        <v>0.22011</v>
      </c>
      <c r="F2" s="1">
        <v>0.126</v>
      </c>
      <c r="G2" s="1">
        <v>-1.00257</v>
      </c>
      <c r="H2" s="1">
        <v>-0.73169</v>
      </c>
      <c r="I2" s="1">
        <v>-0.43716</v>
      </c>
      <c r="J2" s="1">
        <v>0.15736</v>
      </c>
      <c r="K2" s="1">
        <v>1.01148</v>
      </c>
      <c r="L2" s="1">
        <v>0.12511</v>
      </c>
      <c r="M2" s="1">
        <v>0.17428</v>
      </c>
      <c r="N2" s="1">
        <v>0.00158</v>
      </c>
      <c r="O2" s="1">
        <v>0.01689</v>
      </c>
      <c r="P2" s="1">
        <v>-0.31786</v>
      </c>
    </row>
    <row r="3" ht="15.75" customHeight="1"/>
    <row r="4" ht="15.75" customHeight="1">
      <c r="A4" s="3" t="s">
        <v>17</v>
      </c>
    </row>
    <row r="5" ht="15.75" customHeight="1">
      <c r="A5" s="3" t="s">
        <v>18</v>
      </c>
      <c r="C5" s="3" t="s">
        <v>19</v>
      </c>
      <c r="E5" s="4" t="s">
        <v>20</v>
      </c>
      <c r="F5" s="5" t="s">
        <v>21</v>
      </c>
      <c r="G5" s="1"/>
      <c r="H5" s="1"/>
      <c r="I5" s="1"/>
      <c r="J5" s="1"/>
      <c r="K5" s="1"/>
      <c r="L5" s="2" t="s">
        <v>16</v>
      </c>
    </row>
    <row r="6" ht="15.75" customHeight="1">
      <c r="A6" s="6" t="s">
        <v>0</v>
      </c>
      <c r="B6" s="6">
        <v>0.03257</v>
      </c>
      <c r="C6" s="6"/>
      <c r="D6" s="7"/>
      <c r="E6" s="8">
        <v>0.03257</v>
      </c>
      <c r="F6" s="9" t="s">
        <v>22</v>
      </c>
      <c r="G6" s="1"/>
      <c r="H6" s="1"/>
      <c r="I6" s="1"/>
      <c r="J6" s="1"/>
      <c r="K6" s="1"/>
    </row>
    <row r="7" ht="15.75" customHeight="1">
      <c r="A7" s="6" t="s">
        <v>1</v>
      </c>
      <c r="B7" s="6">
        <v>0.24383</v>
      </c>
      <c r="C7" s="6"/>
      <c r="D7" s="7"/>
      <c r="E7" s="10">
        <v>0.24383</v>
      </c>
      <c r="F7" s="9" t="s">
        <v>23</v>
      </c>
      <c r="G7" s="1"/>
      <c r="H7" s="1"/>
      <c r="I7" s="1"/>
      <c r="J7" s="1"/>
      <c r="K7" s="1"/>
    </row>
    <row r="8" ht="15.75" customHeight="1">
      <c r="A8" s="6" t="s">
        <v>2</v>
      </c>
      <c r="B8" s="11">
        <v>-0.2764</v>
      </c>
      <c r="C8" s="6">
        <f>SUM(B6:B8)</f>
        <v>0</v>
      </c>
      <c r="D8" s="7" t="str">
        <f>FORMULATEXT(C8)</f>
        <v>=SUM(B6:B8)</v>
      </c>
      <c r="E8" s="12" t="s">
        <v>24</v>
      </c>
      <c r="F8" s="9" t="s">
        <v>25</v>
      </c>
      <c r="G8" s="1"/>
      <c r="H8" s="1"/>
      <c r="I8" s="1"/>
      <c r="J8" s="1"/>
      <c r="K8" s="1"/>
    </row>
    <row r="9" ht="15.75" customHeight="1">
      <c r="A9" s="13"/>
      <c r="B9" s="13"/>
      <c r="C9" s="13"/>
      <c r="D9" s="14"/>
      <c r="E9" s="15" t="s">
        <v>20</v>
      </c>
      <c r="F9" s="5" t="s">
        <v>26</v>
      </c>
      <c r="G9" s="1"/>
      <c r="H9" s="1"/>
      <c r="I9" s="1"/>
      <c r="J9" s="1"/>
      <c r="K9" s="1"/>
    </row>
    <row r="10" ht="15.75" customHeight="1">
      <c r="A10" s="13" t="s">
        <v>3</v>
      </c>
      <c r="B10" s="13">
        <v>0.65646</v>
      </c>
      <c r="C10" s="13"/>
      <c r="D10" s="14"/>
      <c r="E10" s="16">
        <v>0.65646</v>
      </c>
      <c r="F10" s="9" t="s">
        <v>27</v>
      </c>
      <c r="G10" s="1"/>
      <c r="H10" s="1"/>
      <c r="I10" s="1"/>
      <c r="J10" s="1"/>
      <c r="K10" s="1"/>
      <c r="O10" s="2" t="s">
        <v>28</v>
      </c>
    </row>
    <row r="11" ht="15.75" customHeight="1">
      <c r="A11" s="13" t="s">
        <v>4</v>
      </c>
      <c r="B11" s="13">
        <v>0.22011</v>
      </c>
      <c r="C11" s="13"/>
      <c r="D11" s="14"/>
      <c r="E11" s="16">
        <v>0.22011</v>
      </c>
      <c r="F11" s="9" t="s">
        <v>29</v>
      </c>
      <c r="G11" s="1"/>
      <c r="H11" s="1"/>
      <c r="I11" s="1"/>
      <c r="J11" s="1"/>
      <c r="K11" s="1"/>
    </row>
    <row r="12" ht="15.75" customHeight="1">
      <c r="A12" s="13" t="s">
        <v>5</v>
      </c>
      <c r="B12" s="13">
        <v>0.126</v>
      </c>
      <c r="C12" s="13"/>
      <c r="D12" s="14"/>
      <c r="E12" s="16">
        <v>0.126</v>
      </c>
      <c r="F12" s="9" t="s">
        <v>30</v>
      </c>
      <c r="G12" s="1"/>
      <c r="H12" s="1"/>
      <c r="I12" s="1"/>
      <c r="J12" s="1"/>
      <c r="K12" s="1"/>
    </row>
    <row r="13" ht="15.75" customHeight="1">
      <c r="A13" s="13" t="s">
        <v>6</v>
      </c>
      <c r="B13" s="13">
        <v>-1.00257</v>
      </c>
      <c r="C13" s="13">
        <f>SUM(B10:B13)</f>
        <v>0</v>
      </c>
      <c r="D13" s="14" t="str">
        <f>FORMULATEXT(C13)</f>
        <v>=SUM(B10:B13)</v>
      </c>
      <c r="E13" s="16" t="s">
        <v>31</v>
      </c>
      <c r="F13" s="9" t="s">
        <v>32</v>
      </c>
      <c r="G13" s="1"/>
      <c r="H13" s="1"/>
      <c r="I13" s="1"/>
      <c r="J13" s="1"/>
      <c r="K13" s="1"/>
    </row>
    <row r="14" ht="15.75" customHeight="1">
      <c r="A14" s="17"/>
      <c r="B14" s="17"/>
      <c r="C14" s="17"/>
      <c r="D14" s="18"/>
      <c r="E14" s="15" t="s">
        <v>20</v>
      </c>
      <c r="F14" s="5" t="s">
        <v>33</v>
      </c>
      <c r="G14" s="1"/>
      <c r="H14" s="1"/>
      <c r="I14" s="1"/>
      <c r="J14" s="1"/>
      <c r="K14" s="1"/>
    </row>
    <row r="15" ht="15.75" customHeight="1">
      <c r="A15" s="17" t="s">
        <v>7</v>
      </c>
      <c r="B15" s="17">
        <v>-0.73169</v>
      </c>
      <c r="C15" s="17"/>
      <c r="D15" s="18"/>
      <c r="E15" s="16" t="s">
        <v>34</v>
      </c>
      <c r="F15" s="9" t="s">
        <v>35</v>
      </c>
      <c r="G15" s="1"/>
      <c r="H15" s="1"/>
      <c r="I15" s="1"/>
      <c r="J15" s="1"/>
      <c r="K15" s="1"/>
    </row>
    <row r="16" ht="15.75" customHeight="1">
      <c r="A16" s="17" t="s">
        <v>8</v>
      </c>
      <c r="B16" s="17">
        <v>-0.43716</v>
      </c>
      <c r="C16" s="17"/>
      <c r="D16" s="18"/>
      <c r="E16" s="16" t="s">
        <v>36</v>
      </c>
      <c r="F16" s="9" t="s">
        <v>37</v>
      </c>
      <c r="G16" s="1"/>
      <c r="H16" s="1"/>
      <c r="I16" s="1"/>
      <c r="J16" s="1"/>
      <c r="K16" s="1"/>
    </row>
    <row r="17" ht="15.75" customHeight="1">
      <c r="A17" s="17" t="s">
        <v>9</v>
      </c>
      <c r="B17" s="17">
        <v>0.15736</v>
      </c>
      <c r="C17" s="17"/>
      <c r="D17" s="18"/>
      <c r="E17" s="16">
        <v>0.15736</v>
      </c>
      <c r="F17" s="9" t="s">
        <v>38</v>
      </c>
      <c r="G17" s="1"/>
      <c r="H17" s="1"/>
      <c r="I17" s="1"/>
      <c r="J17" s="1"/>
      <c r="K17" s="1"/>
      <c r="O17" s="19" t="s">
        <v>39</v>
      </c>
    </row>
    <row r="18" ht="15.75" customHeight="1">
      <c r="A18" s="17" t="s">
        <v>10</v>
      </c>
      <c r="B18" s="17">
        <v>1.01148</v>
      </c>
      <c r="C18" s="20">
        <f>SUM(B15:B18)</f>
        <v>-0.00001</v>
      </c>
      <c r="D18" s="18" t="str">
        <f>FORMULATEXT(C18)</f>
        <v>=SUM(B15:B18)</v>
      </c>
      <c r="E18" s="16">
        <v>1.01148</v>
      </c>
      <c r="F18" s="9" t="s">
        <v>40</v>
      </c>
      <c r="G18" s="1"/>
      <c r="H18" s="1"/>
      <c r="I18" s="1"/>
      <c r="J18" s="1"/>
      <c r="K18" s="1"/>
    </row>
    <row r="19" ht="15.75" customHeight="1">
      <c r="A19" s="21"/>
      <c r="B19" s="21"/>
      <c r="C19" s="21"/>
      <c r="D19" s="22"/>
      <c r="E19" s="15" t="s">
        <v>20</v>
      </c>
      <c r="F19" s="5" t="s">
        <v>41</v>
      </c>
      <c r="G19" s="1"/>
      <c r="H19" s="1"/>
      <c r="I19" s="1"/>
      <c r="J19" s="1"/>
      <c r="K19" s="1"/>
    </row>
    <row r="20" ht="15.75" customHeight="1">
      <c r="A20" s="21" t="s">
        <v>11</v>
      </c>
      <c r="B20" s="21">
        <v>0.12511</v>
      </c>
      <c r="C20" s="21"/>
      <c r="D20" s="22"/>
      <c r="E20" s="16">
        <v>0.12511</v>
      </c>
      <c r="F20" s="9" t="s">
        <v>42</v>
      </c>
      <c r="G20" s="1"/>
      <c r="H20" s="1"/>
      <c r="I20" s="1"/>
      <c r="J20" s="1"/>
      <c r="K20" s="1"/>
    </row>
    <row r="21" ht="15.75" customHeight="1">
      <c r="A21" s="21" t="s">
        <v>12</v>
      </c>
      <c r="B21" s="21">
        <v>0.17428</v>
      </c>
      <c r="C21" s="21"/>
      <c r="D21" s="22"/>
      <c r="E21" s="16">
        <v>0.17428</v>
      </c>
      <c r="F21" s="9" t="s">
        <v>43</v>
      </c>
      <c r="G21" s="1"/>
      <c r="H21" s="1"/>
      <c r="I21" s="1"/>
      <c r="J21" s="1"/>
      <c r="K21" s="1"/>
    </row>
    <row r="22" ht="15.75" customHeight="1">
      <c r="A22" s="21" t="s">
        <v>13</v>
      </c>
      <c r="B22" s="21">
        <v>0.00158</v>
      </c>
      <c r="C22" s="21"/>
      <c r="D22" s="22"/>
      <c r="E22" s="16">
        <v>0.00158</v>
      </c>
      <c r="F22" s="9" t="s">
        <v>44</v>
      </c>
      <c r="G22" s="1"/>
      <c r="H22" s="1"/>
      <c r="I22" s="1"/>
      <c r="J22" s="1"/>
      <c r="K22" s="1"/>
      <c r="P22" s="19" t="s">
        <v>39</v>
      </c>
    </row>
    <row r="23" ht="15.75" customHeight="1">
      <c r="A23" s="21" t="s">
        <v>14</v>
      </c>
      <c r="B23" s="21">
        <v>0.01689</v>
      </c>
      <c r="C23" s="21"/>
      <c r="D23" s="22"/>
      <c r="E23" s="16">
        <v>0.01689</v>
      </c>
      <c r="F23" s="9" t="s">
        <v>45</v>
      </c>
      <c r="G23" s="1"/>
      <c r="H23" s="1"/>
      <c r="I23" s="1"/>
      <c r="J23" s="1"/>
      <c r="K23" s="1"/>
    </row>
    <row r="24" ht="15.75" customHeight="1">
      <c r="A24" s="21" t="s">
        <v>15</v>
      </c>
      <c r="B24" s="21">
        <v>-0.31786</v>
      </c>
      <c r="C24" s="21">
        <f>SUM(B20:B24)</f>
        <v>0</v>
      </c>
      <c r="D24" s="22" t="str">
        <f>FORMULATEXT(C24)</f>
        <v>=SUM(B20:B24)</v>
      </c>
      <c r="E24" s="16" t="s">
        <v>46</v>
      </c>
      <c r="F24" s="9" t="s">
        <v>47</v>
      </c>
      <c r="G24" s="1"/>
      <c r="H24" s="1"/>
      <c r="I24" s="1"/>
      <c r="J24" s="1"/>
      <c r="K24" s="1"/>
    </row>
    <row r="25" ht="15.75" customHeight="1">
      <c r="E25" s="1"/>
      <c r="F25" s="1"/>
      <c r="G25" s="1"/>
      <c r="H25" s="1"/>
      <c r="I25" s="1"/>
      <c r="J25" s="1"/>
      <c r="K25" s="1"/>
    </row>
    <row r="26" ht="15.75" customHeight="1">
      <c r="E26" s="23" t="s">
        <v>48</v>
      </c>
      <c r="F26" s="1"/>
      <c r="G26" s="1"/>
      <c r="H26" s="1"/>
      <c r="I26" s="1"/>
      <c r="J26" s="1"/>
      <c r="K26" s="1"/>
    </row>
    <row r="27" ht="15.75" customHeight="1">
      <c r="E27" s="24"/>
      <c r="F27" s="25"/>
      <c r="G27" s="25"/>
      <c r="H27" s="25"/>
      <c r="I27" s="25"/>
      <c r="J27" s="25"/>
      <c r="K27" s="25"/>
    </row>
    <row r="28" ht="15.75" customHeight="1">
      <c r="A28" s="26"/>
      <c r="B28" s="27"/>
      <c r="C28" s="28" t="s">
        <v>49</v>
      </c>
      <c r="D28" s="27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ht="15.75" customHeight="1">
      <c r="E29" s="24"/>
      <c r="F29" s="25"/>
      <c r="G29" s="25"/>
      <c r="H29" s="25"/>
      <c r="I29" s="25"/>
      <c r="J29" s="25"/>
      <c r="K29" s="25"/>
    </row>
    <row r="30" ht="15.75" customHeight="1">
      <c r="A30" s="30" t="s">
        <v>50</v>
      </c>
      <c r="C30" s="3" t="s">
        <v>51</v>
      </c>
      <c r="D30" s="31">
        <v>10.0</v>
      </c>
    </row>
    <row r="31" ht="15.75" customHeight="1">
      <c r="A31" s="30" t="s">
        <v>52</v>
      </c>
      <c r="B31" s="32" t="s">
        <v>53</v>
      </c>
      <c r="C31" s="33" t="s">
        <v>54</v>
      </c>
      <c r="D31" s="34" t="s">
        <v>55</v>
      </c>
      <c r="E31" s="35" t="s">
        <v>56</v>
      </c>
      <c r="F31" s="36" t="s">
        <v>53</v>
      </c>
      <c r="H31" s="37"/>
      <c r="I31" s="37"/>
      <c r="J31" s="37"/>
    </row>
    <row r="32" ht="15.75" customHeight="1">
      <c r="A32" s="25" t="s">
        <v>26</v>
      </c>
      <c r="B32" s="38"/>
      <c r="C32" s="39" t="s">
        <v>57</v>
      </c>
      <c r="D32" s="40">
        <v>15.0</v>
      </c>
      <c r="E32" s="41">
        <v>25.0</v>
      </c>
      <c r="F32" s="42"/>
      <c r="H32" s="43"/>
      <c r="I32" s="44"/>
      <c r="J32" s="44"/>
    </row>
    <row r="33" ht="15.75" customHeight="1">
      <c r="A33" s="45" t="s">
        <v>58</v>
      </c>
      <c r="B33" s="46" t="s">
        <v>59</v>
      </c>
      <c r="C33" s="47" t="s">
        <v>60</v>
      </c>
      <c r="D33" s="48">
        <f>B10+B15</f>
        <v>-0.07523</v>
      </c>
      <c r="E33" s="46">
        <f>B11+B15</f>
        <v>-0.51158</v>
      </c>
      <c r="F33" s="49">
        <f>-(E33-D33)/D33</f>
        <v>-5.800212681</v>
      </c>
      <c r="H33" s="43"/>
      <c r="I33" s="43"/>
      <c r="J33" s="43"/>
    </row>
    <row r="34" ht="15.75" customHeight="1">
      <c r="A34" s="45" t="s">
        <v>61</v>
      </c>
      <c r="B34" s="50" t="s">
        <v>59</v>
      </c>
      <c r="C34" s="51" t="s">
        <v>59</v>
      </c>
      <c r="D34" s="52">
        <f>D32-D30</f>
        <v>5</v>
      </c>
      <c r="E34" s="53">
        <f>E32-D30</f>
        <v>15</v>
      </c>
      <c r="F34" s="54">
        <f>(E34-D34)/D34</f>
        <v>2</v>
      </c>
      <c r="H34" s="43"/>
      <c r="I34" s="44"/>
      <c r="J34" s="44"/>
    </row>
    <row r="35" ht="33.0" customHeight="1">
      <c r="A35" s="55" t="s">
        <v>62</v>
      </c>
    </row>
    <row r="36" ht="15.75" customHeight="1"/>
    <row r="37" ht="15.75" customHeight="1">
      <c r="A37" s="30" t="s">
        <v>63</v>
      </c>
      <c r="C37" s="3" t="s">
        <v>51</v>
      </c>
      <c r="D37" s="31">
        <v>12.0</v>
      </c>
    </row>
    <row r="38" ht="15.75" customHeight="1">
      <c r="A38" s="30" t="s">
        <v>52</v>
      </c>
      <c r="B38" s="32" t="s">
        <v>53</v>
      </c>
      <c r="C38" s="33" t="s">
        <v>64</v>
      </c>
      <c r="D38" s="56" t="s">
        <v>55</v>
      </c>
      <c r="E38" s="57" t="s">
        <v>56</v>
      </c>
      <c r="F38" s="36" t="s">
        <v>53</v>
      </c>
    </row>
    <row r="39" ht="15.75" customHeight="1">
      <c r="A39" s="25" t="s">
        <v>26</v>
      </c>
      <c r="B39" s="38"/>
      <c r="C39" s="58">
        <v>15.0</v>
      </c>
      <c r="D39" s="40">
        <v>25.0</v>
      </c>
      <c r="E39" s="41">
        <v>35.0</v>
      </c>
      <c r="F39" s="42"/>
    </row>
    <row r="40" ht="15.75" customHeight="1">
      <c r="A40" s="45" t="s">
        <v>58</v>
      </c>
      <c r="B40" s="59">
        <f>-(C40-D40)/D40</f>
        <v>2.010366275</v>
      </c>
      <c r="C40" s="60">
        <f>B10+B16</f>
        <v>0.2193</v>
      </c>
      <c r="D40" s="48">
        <f>B11+B16</f>
        <v>-0.21705</v>
      </c>
      <c r="E40" s="46">
        <f>B12+B16</f>
        <v>-0.31116</v>
      </c>
      <c r="F40" s="49">
        <f>-(E40-D40)/D40</f>
        <v>-0.4335867312</v>
      </c>
    </row>
    <row r="41" ht="15.75" customHeight="1">
      <c r="A41" s="45" t="s">
        <v>61</v>
      </c>
      <c r="B41" s="61">
        <f>(C41-D41)/D41</f>
        <v>-0.7692307692</v>
      </c>
      <c r="C41" s="62">
        <f>C39-D37</f>
        <v>3</v>
      </c>
      <c r="D41" s="52">
        <f>D39-D37</f>
        <v>13</v>
      </c>
      <c r="E41" s="53">
        <f>E39-D37</f>
        <v>23</v>
      </c>
      <c r="F41" s="54">
        <f>(E41-D41)/D41</f>
        <v>0.7692307692</v>
      </c>
    </row>
    <row r="42" ht="42.75" customHeight="1">
      <c r="A42" s="63" t="s">
        <v>65</v>
      </c>
    </row>
    <row r="43" ht="15.75" customHeight="1"/>
    <row r="44" ht="15.75" customHeight="1">
      <c r="A44" s="64" t="s">
        <v>66</v>
      </c>
      <c r="B44" s="65"/>
      <c r="C44" s="65" t="s">
        <v>51</v>
      </c>
      <c r="D44" s="66">
        <v>18.0</v>
      </c>
      <c r="E44" s="65"/>
      <c r="F44" s="65"/>
      <c r="G44" s="67" t="s">
        <v>67</v>
      </c>
    </row>
    <row r="45" ht="15.75" customHeight="1">
      <c r="A45" s="68" t="s">
        <v>52</v>
      </c>
      <c r="B45" s="32" t="s">
        <v>53</v>
      </c>
      <c r="C45" s="33" t="s">
        <v>64</v>
      </c>
      <c r="D45" s="34" t="s">
        <v>55</v>
      </c>
      <c r="E45" s="35" t="s">
        <v>56</v>
      </c>
      <c r="F45" s="36" t="s">
        <v>53</v>
      </c>
      <c r="G45" s="69"/>
    </row>
    <row r="46" ht="15.75" customHeight="1">
      <c r="A46" s="70" t="s">
        <v>26</v>
      </c>
      <c r="B46" s="38" t="s">
        <v>59</v>
      </c>
      <c r="C46" s="58">
        <v>25.0</v>
      </c>
      <c r="D46" s="40">
        <v>35.0</v>
      </c>
      <c r="E46" s="41">
        <v>60.0</v>
      </c>
      <c r="F46" s="42"/>
      <c r="G46" s="69"/>
    </row>
    <row r="47" ht="15.75" customHeight="1">
      <c r="A47" s="71" t="s">
        <v>58</v>
      </c>
      <c r="B47" s="59">
        <f t="shared" ref="B47:B48" si="1">(C47-D47)/D47</f>
        <v>0.3321216827</v>
      </c>
      <c r="C47" s="60">
        <f>B17+B11</f>
        <v>0.37747</v>
      </c>
      <c r="D47" s="72">
        <f>B12+B17</f>
        <v>0.28336</v>
      </c>
      <c r="E47" s="46">
        <f>B13+B17</f>
        <v>-0.84521</v>
      </c>
      <c r="F47" s="49">
        <f t="shared" ref="F47:F48" si="2">(E47-D47)/D47</f>
        <v>-3.982813382</v>
      </c>
      <c r="G47" s="69"/>
    </row>
    <row r="48" ht="15.75" customHeight="1">
      <c r="A48" s="71" t="s">
        <v>61</v>
      </c>
      <c r="B48" s="61">
        <f t="shared" si="1"/>
        <v>-0.5882352941</v>
      </c>
      <c r="C48" s="62">
        <f>C46-D44</f>
        <v>7</v>
      </c>
      <c r="D48" s="52">
        <f>D46-D44</f>
        <v>17</v>
      </c>
      <c r="E48" s="53">
        <f>E46-D44</f>
        <v>42</v>
      </c>
      <c r="F48" s="54">
        <f t="shared" si="2"/>
        <v>1.470588235</v>
      </c>
      <c r="G48" s="69"/>
    </row>
    <row r="49" ht="33.0" customHeight="1">
      <c r="A49" s="73" t="s">
        <v>68</v>
      </c>
      <c r="B49" s="74"/>
      <c r="C49" s="74"/>
      <c r="D49" s="74"/>
      <c r="E49" s="74"/>
      <c r="F49" s="74"/>
      <c r="G49" s="75"/>
    </row>
    <row r="50" ht="15.75" customHeight="1"/>
    <row r="51" ht="15.75" customHeight="1">
      <c r="A51" s="30" t="s">
        <v>69</v>
      </c>
      <c r="C51" s="3" t="s">
        <v>51</v>
      </c>
      <c r="D51" s="31">
        <v>40.0</v>
      </c>
      <c r="H51" s="76"/>
    </row>
    <row r="52" ht="15.75" customHeight="1">
      <c r="A52" s="30" t="s">
        <v>52</v>
      </c>
      <c r="B52" s="32" t="s">
        <v>53</v>
      </c>
      <c r="C52" s="33" t="s">
        <v>54</v>
      </c>
      <c r="D52" s="34" t="s">
        <v>55</v>
      </c>
      <c r="E52" s="35" t="s">
        <v>70</v>
      </c>
      <c r="F52" s="36" t="s">
        <v>53</v>
      </c>
      <c r="H52" s="76" t="s">
        <v>71</v>
      </c>
    </row>
    <row r="53" ht="15.75" customHeight="1">
      <c r="A53" s="25" t="s">
        <v>26</v>
      </c>
      <c r="B53" s="38"/>
      <c r="C53" s="58" t="s">
        <v>72</v>
      </c>
      <c r="D53" s="40">
        <v>60.0</v>
      </c>
      <c r="E53" s="41" t="s">
        <v>59</v>
      </c>
      <c r="F53" s="77"/>
      <c r="H53" s="76"/>
    </row>
    <row r="54" ht="15.75" customHeight="1">
      <c r="A54" s="45" t="s">
        <v>58</v>
      </c>
      <c r="B54" s="46" t="s">
        <v>59</v>
      </c>
      <c r="C54" s="78" t="s">
        <v>59</v>
      </c>
      <c r="D54" s="48">
        <f>B13+B18</f>
        <v>0.00891</v>
      </c>
      <c r="E54" s="46" t="s">
        <v>59</v>
      </c>
      <c r="F54" s="78" t="s">
        <v>59</v>
      </c>
    </row>
    <row r="55" ht="15.75" customHeight="1">
      <c r="A55" s="45" t="s">
        <v>61</v>
      </c>
      <c r="B55" s="53" t="s">
        <v>59</v>
      </c>
      <c r="C55" s="79" t="s">
        <v>59</v>
      </c>
      <c r="D55" s="52">
        <f>D53-D51</f>
        <v>20</v>
      </c>
      <c r="E55" s="53" t="s">
        <v>59</v>
      </c>
      <c r="F55" s="79" t="s">
        <v>59</v>
      </c>
    </row>
    <row r="56" ht="41.25" customHeight="1">
      <c r="A56" s="63" t="s">
        <v>73</v>
      </c>
    </row>
    <row r="57" ht="15.75" customHeight="1">
      <c r="F57" s="76" t="s">
        <v>74</v>
      </c>
    </row>
    <row r="58" ht="15.75" customHeight="1"/>
    <row r="59" ht="15.75" customHeight="1"/>
    <row r="60" ht="15.75" customHeight="1">
      <c r="A60" s="26"/>
      <c r="B60" s="27"/>
      <c r="C60" s="28" t="s">
        <v>75</v>
      </c>
      <c r="D60" s="27"/>
      <c r="E60" s="2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ht="15.75" customHeight="1">
      <c r="A61" s="80" t="s">
        <v>76</v>
      </c>
    </row>
    <row r="62" ht="15.75" customHeight="1">
      <c r="A62" s="81" t="s">
        <v>77</v>
      </c>
    </row>
    <row r="63" ht="15.75" customHeight="1">
      <c r="A63" s="81" t="s">
        <v>78</v>
      </c>
      <c r="E63" s="81" t="s">
        <v>79</v>
      </c>
    </row>
    <row r="64" ht="15.75" customHeight="1">
      <c r="A64" s="81" t="s">
        <v>80</v>
      </c>
      <c r="E64" s="81" t="s">
        <v>81</v>
      </c>
    </row>
    <row r="65" ht="15.75" customHeight="1">
      <c r="A65" s="81" t="s">
        <v>82</v>
      </c>
      <c r="E65" s="81" t="s">
        <v>83</v>
      </c>
    </row>
    <row r="66" ht="15.75" customHeight="1"/>
    <row r="67" ht="15.75" customHeight="1">
      <c r="A67" s="80" t="s">
        <v>84</v>
      </c>
    </row>
    <row r="68" ht="15.75" customHeight="1">
      <c r="A68" s="81" t="s">
        <v>85</v>
      </c>
    </row>
    <row r="69" ht="15.75" customHeight="1"/>
    <row r="70" ht="15.75" customHeight="1">
      <c r="A70" s="82" t="s">
        <v>86</v>
      </c>
      <c r="B70" s="83" t="s">
        <v>20</v>
      </c>
      <c r="C70" s="83" t="s">
        <v>87</v>
      </c>
      <c r="D70" s="84" t="s">
        <v>88</v>
      </c>
    </row>
    <row r="71" ht="15.75" customHeight="1">
      <c r="A71" s="85" t="s">
        <v>89</v>
      </c>
      <c r="B71" s="81">
        <v>-0.732</v>
      </c>
      <c r="C71" s="81" t="s">
        <v>90</v>
      </c>
      <c r="D71" s="86">
        <v>0.0</v>
      </c>
    </row>
    <row r="72" ht="15.75" customHeight="1">
      <c r="A72" s="85" t="s">
        <v>91</v>
      </c>
      <c r="B72" s="81">
        <v>-0.437</v>
      </c>
      <c r="C72" s="81">
        <f>B72-B71</f>
        <v>0.295</v>
      </c>
      <c r="D72" s="87">
        <f t="shared" ref="D72:D74" si="3">C72*27.12</f>
        <v>8.0004</v>
      </c>
    </row>
    <row r="73" ht="15.75" customHeight="1">
      <c r="A73" s="85" t="s">
        <v>92</v>
      </c>
      <c r="B73" s="3">
        <f>0.157</f>
        <v>0.157</v>
      </c>
      <c r="C73" s="81">
        <f>B73-B71</f>
        <v>0.889</v>
      </c>
      <c r="D73" s="87">
        <f t="shared" si="3"/>
        <v>24.10968</v>
      </c>
    </row>
    <row r="74" ht="15.75" customHeight="1">
      <c r="A74" s="88" t="s">
        <v>93</v>
      </c>
      <c r="B74" s="89">
        <v>1.011</v>
      </c>
      <c r="C74" s="89">
        <f>B74-B71</f>
        <v>1.743</v>
      </c>
      <c r="D74" s="90">
        <f t="shared" si="3"/>
        <v>47.27016</v>
      </c>
    </row>
    <row r="75" ht="15.75" customHeight="1"/>
    <row r="76" ht="15.75" customHeight="1">
      <c r="A76" s="80" t="s">
        <v>94</v>
      </c>
    </row>
    <row r="77" ht="15.75" customHeight="1"/>
    <row r="78" ht="15.75" customHeight="1">
      <c r="A78" s="82" t="s">
        <v>86</v>
      </c>
      <c r="B78" s="83" t="s">
        <v>95</v>
      </c>
      <c r="C78" s="83" t="s">
        <v>96</v>
      </c>
      <c r="D78" s="83" t="s">
        <v>88</v>
      </c>
      <c r="E78" s="84" t="s">
        <v>97</v>
      </c>
      <c r="G78" s="81" t="s">
        <v>98</v>
      </c>
    </row>
    <row r="79" ht="15.75" customHeight="1">
      <c r="A79" s="85" t="s">
        <v>89</v>
      </c>
      <c r="B79" s="91">
        <v>15.0</v>
      </c>
      <c r="C79" s="91">
        <v>0.0</v>
      </c>
      <c r="D79" s="92">
        <v>0.0</v>
      </c>
      <c r="E79" s="86">
        <v>0.0</v>
      </c>
      <c r="G79" s="81" t="s">
        <v>99</v>
      </c>
    </row>
    <row r="80" ht="15.75" customHeight="1">
      <c r="A80" s="85" t="s">
        <v>91</v>
      </c>
      <c r="B80" s="91">
        <v>25.0</v>
      </c>
      <c r="C80" s="91">
        <f>B80-B79</f>
        <v>10</v>
      </c>
      <c r="D80" s="93">
        <v>8.0</v>
      </c>
      <c r="E80" s="87">
        <f t="shared" ref="E80:E82" si="4">D80-C80</f>
        <v>-2</v>
      </c>
      <c r="F80" s="81" t="s">
        <v>100</v>
      </c>
    </row>
    <row r="81" ht="15.75" customHeight="1">
      <c r="A81" s="85" t="s">
        <v>92</v>
      </c>
      <c r="B81" s="91">
        <v>35.0</v>
      </c>
      <c r="C81" s="91">
        <f>B81-B79</f>
        <v>20</v>
      </c>
      <c r="D81" s="93">
        <v>24.12</v>
      </c>
      <c r="E81" s="87">
        <f t="shared" si="4"/>
        <v>4.12</v>
      </c>
      <c r="F81" s="81" t="s">
        <v>101</v>
      </c>
    </row>
    <row r="82" ht="15.75" customHeight="1">
      <c r="A82" s="88" t="s">
        <v>93</v>
      </c>
      <c r="B82" s="94">
        <v>60.0</v>
      </c>
      <c r="C82" s="94">
        <f>B82-B79</f>
        <v>45</v>
      </c>
      <c r="D82" s="95">
        <v>47.28</v>
      </c>
      <c r="E82" s="90">
        <f t="shared" si="4"/>
        <v>2.28</v>
      </c>
      <c r="F82" s="81" t="s">
        <v>101</v>
      </c>
    </row>
    <row r="83" ht="15.75" customHeight="1"/>
    <row r="84" ht="15.75" customHeight="1">
      <c r="A84" s="80" t="s">
        <v>102</v>
      </c>
    </row>
    <row r="85" ht="15.75" customHeight="1"/>
    <row r="86" ht="15.75" customHeight="1">
      <c r="A86" s="96" t="s">
        <v>86</v>
      </c>
      <c r="B86" s="97" t="s">
        <v>103</v>
      </c>
      <c r="C86" s="97" t="s">
        <v>95</v>
      </c>
      <c r="D86" s="98" t="s">
        <v>104</v>
      </c>
      <c r="E86" s="99" t="s">
        <v>105</v>
      </c>
      <c r="F86" s="99" t="s">
        <v>103</v>
      </c>
      <c r="G86" s="100" t="s">
        <v>53</v>
      </c>
    </row>
    <row r="87" ht="15.75" customHeight="1">
      <c r="A87" s="85" t="s">
        <v>89</v>
      </c>
      <c r="B87" s="101">
        <f t="shared" ref="B87:B90" si="5">C87-D87</f>
        <v>5</v>
      </c>
      <c r="C87" s="102">
        <v>15.0</v>
      </c>
      <c r="D87" s="91">
        <v>10.0</v>
      </c>
      <c r="E87" s="103">
        <v>15.0</v>
      </c>
      <c r="F87" s="104">
        <f t="shared" ref="F87:F90" si="6">E87-D87</f>
        <v>5</v>
      </c>
      <c r="G87" s="105">
        <f t="shared" ref="G87:G90" si="7">(F87-B87)/B87</f>
        <v>0</v>
      </c>
    </row>
    <row r="88" ht="15.75" customHeight="1">
      <c r="A88" s="85" t="s">
        <v>91</v>
      </c>
      <c r="B88" s="101">
        <f t="shared" si="5"/>
        <v>13</v>
      </c>
      <c r="C88" s="102">
        <v>25.0</v>
      </c>
      <c r="D88" s="91">
        <v>12.0</v>
      </c>
      <c r="E88" s="103">
        <v>23.0</v>
      </c>
      <c r="F88" s="104">
        <f t="shared" si="6"/>
        <v>11</v>
      </c>
      <c r="G88" s="106">
        <f t="shared" si="7"/>
        <v>-0.1538461538</v>
      </c>
    </row>
    <row r="89" ht="15.75" customHeight="1">
      <c r="A89" s="85" t="s">
        <v>92</v>
      </c>
      <c r="B89" s="101">
        <f t="shared" si="5"/>
        <v>17</v>
      </c>
      <c r="C89" s="102">
        <v>35.0</v>
      </c>
      <c r="D89" s="91">
        <v>18.0</v>
      </c>
      <c r="E89" s="103">
        <v>39.0</v>
      </c>
      <c r="F89" s="104">
        <f t="shared" si="6"/>
        <v>21</v>
      </c>
      <c r="G89" s="107">
        <f t="shared" si="7"/>
        <v>0.2352941176</v>
      </c>
    </row>
    <row r="90" ht="15.75" customHeight="1">
      <c r="A90" s="88" t="s">
        <v>93</v>
      </c>
      <c r="B90" s="108">
        <f t="shared" si="5"/>
        <v>20</v>
      </c>
      <c r="C90" s="109">
        <v>60.0</v>
      </c>
      <c r="D90" s="94">
        <v>40.0</v>
      </c>
      <c r="E90" s="110">
        <v>62.0</v>
      </c>
      <c r="F90" s="111">
        <f t="shared" si="6"/>
        <v>22</v>
      </c>
      <c r="G90" s="112">
        <f t="shared" si="7"/>
        <v>0.1</v>
      </c>
    </row>
    <row r="91" ht="15.75" customHeight="1"/>
    <row r="92" ht="15.75" customHeight="1"/>
    <row r="93" ht="15.75" customHeight="1">
      <c r="A93" s="80" t="s">
        <v>106</v>
      </c>
      <c r="B93" s="113"/>
      <c r="C93" s="113"/>
    </row>
    <row r="94" ht="15.75" customHeight="1">
      <c r="A94" s="96" t="s">
        <v>86</v>
      </c>
      <c r="B94" s="114" t="s">
        <v>107</v>
      </c>
      <c r="C94" s="115" t="s">
        <v>108</v>
      </c>
      <c r="D94" s="97" t="s">
        <v>109</v>
      </c>
      <c r="E94" s="97" t="s">
        <v>103</v>
      </c>
      <c r="F94" s="97" t="s">
        <v>95</v>
      </c>
      <c r="G94" s="98" t="s">
        <v>104</v>
      </c>
      <c r="H94" s="99" t="s">
        <v>105</v>
      </c>
      <c r="I94" s="99" t="s">
        <v>103</v>
      </c>
      <c r="J94" s="116" t="s">
        <v>110</v>
      </c>
      <c r="K94" s="99" t="s">
        <v>109</v>
      </c>
      <c r="L94" s="117" t="s">
        <v>111</v>
      </c>
      <c r="M94" s="118" t="s">
        <v>112</v>
      </c>
      <c r="N94" s="119" t="s">
        <v>113</v>
      </c>
      <c r="P94" s="119" t="s">
        <v>114</v>
      </c>
      <c r="Q94" s="119" t="s">
        <v>115</v>
      </c>
      <c r="R94" s="119" t="s">
        <v>116</v>
      </c>
      <c r="S94" s="119" t="s">
        <v>117</v>
      </c>
      <c r="T94" s="81" t="s">
        <v>110</v>
      </c>
    </row>
    <row r="95" ht="15.75" customHeight="1">
      <c r="A95" s="85" t="s">
        <v>89</v>
      </c>
      <c r="B95" s="120">
        <f t="shared" ref="B95:B98" si="8">B15</f>
        <v>-0.73169</v>
      </c>
      <c r="C95" s="121">
        <f t="shared" ref="C95:C98" si="9">B10</f>
        <v>0.65646</v>
      </c>
      <c r="D95" s="122">
        <f t="shared" ref="D95:D98" si="10">B95+C95</f>
        <v>-0.07523</v>
      </c>
      <c r="E95" s="123">
        <f t="shared" ref="E95:E98" si="11">F95-G95</f>
        <v>5</v>
      </c>
      <c r="F95" s="124">
        <v>15.0</v>
      </c>
      <c r="G95" s="125">
        <v>10.0</v>
      </c>
      <c r="H95" s="126">
        <v>15.0</v>
      </c>
      <c r="I95" s="127">
        <f t="shared" ref="I95:I98" si="12">H95-G95</f>
        <v>5</v>
      </c>
      <c r="J95" s="128">
        <f t="shared" ref="J95:J98" si="13">T95</f>
        <v>0.65646</v>
      </c>
      <c r="K95" s="129">
        <f t="shared" ref="K95:K98" si="14">B95+J95</f>
        <v>-0.07523</v>
      </c>
      <c r="L95" s="130">
        <f t="shared" ref="L95:L98" si="15">(K95-D95)/(abs(D95))</f>
        <v>0</v>
      </c>
      <c r="M95" s="131">
        <f t="shared" ref="M95:M98" si="16">(I95-E95)/E95</f>
        <v>0</v>
      </c>
      <c r="N95" s="81" t="s">
        <v>118</v>
      </c>
      <c r="P95" s="3">
        <f t="shared" ref="P95:P98" si="17">B10</f>
        <v>0.65646</v>
      </c>
      <c r="Q95" s="132">
        <f t="shared" ref="Q95:Q98" si="18">F95</f>
        <v>15</v>
      </c>
      <c r="R95" s="132">
        <f t="shared" ref="R95:R98" si="19">H95</f>
        <v>15</v>
      </c>
      <c r="S95" s="133">
        <v>0.03687</v>
      </c>
      <c r="T95" s="134">
        <f t="shared" ref="T95:T98" si="20">P95+(Q95-R95)*S95</f>
        <v>0.65646</v>
      </c>
    </row>
    <row r="96" ht="15.75" customHeight="1">
      <c r="A96" s="85" t="s">
        <v>91</v>
      </c>
      <c r="B96" s="120">
        <f t="shared" si="8"/>
        <v>-0.43716</v>
      </c>
      <c r="C96" s="121">
        <f t="shared" si="9"/>
        <v>0.22011</v>
      </c>
      <c r="D96" s="122">
        <f t="shared" si="10"/>
        <v>-0.21705</v>
      </c>
      <c r="E96" s="123">
        <f t="shared" si="11"/>
        <v>13</v>
      </c>
      <c r="F96" s="124">
        <v>25.0</v>
      </c>
      <c r="G96" s="125">
        <v>12.0</v>
      </c>
      <c r="H96" s="126">
        <v>23.0</v>
      </c>
      <c r="I96" s="127">
        <f t="shared" si="12"/>
        <v>11</v>
      </c>
      <c r="J96" s="128">
        <f t="shared" si="13"/>
        <v>0.29385</v>
      </c>
      <c r="K96" s="129">
        <f t="shared" si="14"/>
        <v>-0.14331</v>
      </c>
      <c r="L96" s="135">
        <f t="shared" si="15"/>
        <v>0.3397373877</v>
      </c>
      <c r="M96" s="136">
        <f t="shared" si="16"/>
        <v>-0.1538461538</v>
      </c>
      <c r="N96" s="81" t="s">
        <v>119</v>
      </c>
      <c r="P96" s="3">
        <f t="shared" si="17"/>
        <v>0.22011</v>
      </c>
      <c r="Q96" s="132">
        <f t="shared" si="18"/>
        <v>25</v>
      </c>
      <c r="R96" s="132">
        <f t="shared" si="19"/>
        <v>23</v>
      </c>
      <c r="S96" s="133">
        <v>0.03687</v>
      </c>
      <c r="T96" s="134">
        <f t="shared" si="20"/>
        <v>0.29385</v>
      </c>
    </row>
    <row r="97" ht="15.75" customHeight="1">
      <c r="A97" s="85" t="s">
        <v>92</v>
      </c>
      <c r="B97" s="120">
        <f t="shared" si="8"/>
        <v>0.15736</v>
      </c>
      <c r="C97" s="121">
        <f t="shared" si="9"/>
        <v>0.126</v>
      </c>
      <c r="D97" s="122">
        <f t="shared" si="10"/>
        <v>0.28336</v>
      </c>
      <c r="E97" s="123">
        <f t="shared" si="11"/>
        <v>17</v>
      </c>
      <c r="F97" s="124">
        <v>35.0</v>
      </c>
      <c r="G97" s="125">
        <v>18.0</v>
      </c>
      <c r="H97" s="137">
        <v>40.0</v>
      </c>
      <c r="I97" s="127">
        <f t="shared" si="12"/>
        <v>22</v>
      </c>
      <c r="J97" s="128">
        <f t="shared" si="13"/>
        <v>-0.05835</v>
      </c>
      <c r="K97" s="129">
        <f t="shared" si="14"/>
        <v>0.09901</v>
      </c>
      <c r="L97" s="138">
        <f t="shared" si="15"/>
        <v>-0.6505858272</v>
      </c>
      <c r="M97" s="139">
        <f t="shared" si="16"/>
        <v>0.2941176471</v>
      </c>
      <c r="N97" s="81" t="s">
        <v>120</v>
      </c>
      <c r="P97" s="3">
        <f t="shared" si="17"/>
        <v>0.126</v>
      </c>
      <c r="Q97" s="132">
        <f t="shared" si="18"/>
        <v>35</v>
      </c>
      <c r="R97" s="132">
        <f t="shared" si="19"/>
        <v>40</v>
      </c>
      <c r="S97" s="133">
        <v>0.03687</v>
      </c>
      <c r="T97" s="134">
        <f t="shared" si="20"/>
        <v>-0.05835</v>
      </c>
    </row>
    <row r="98" ht="15.75" customHeight="1">
      <c r="A98" s="88" t="s">
        <v>93</v>
      </c>
      <c r="B98" s="140">
        <f t="shared" si="8"/>
        <v>1.01148</v>
      </c>
      <c r="C98" s="141">
        <f t="shared" si="9"/>
        <v>-1.00257</v>
      </c>
      <c r="D98" s="142">
        <f t="shared" si="10"/>
        <v>0.00891</v>
      </c>
      <c r="E98" s="143">
        <f t="shared" si="11"/>
        <v>20</v>
      </c>
      <c r="F98" s="144">
        <v>60.0</v>
      </c>
      <c r="G98" s="145">
        <v>40.0</v>
      </c>
      <c r="H98" s="146">
        <v>60.0</v>
      </c>
      <c r="I98" s="147">
        <f t="shared" si="12"/>
        <v>20</v>
      </c>
      <c r="J98" s="148">
        <f t="shared" si="13"/>
        <v>-1.00257</v>
      </c>
      <c r="K98" s="149">
        <f t="shared" si="14"/>
        <v>0.00891</v>
      </c>
      <c r="L98" s="150">
        <f t="shared" si="15"/>
        <v>0</v>
      </c>
      <c r="M98" s="151">
        <f t="shared" si="16"/>
        <v>0</v>
      </c>
      <c r="N98" s="81" t="s">
        <v>118</v>
      </c>
      <c r="P98" s="3">
        <f t="shared" si="17"/>
        <v>-1.00257</v>
      </c>
      <c r="Q98" s="132">
        <f t="shared" si="18"/>
        <v>60</v>
      </c>
      <c r="R98" s="132">
        <f t="shared" si="19"/>
        <v>60</v>
      </c>
      <c r="S98" s="133">
        <v>0.03687</v>
      </c>
      <c r="T98" s="134">
        <f t="shared" si="20"/>
        <v>-1.00257</v>
      </c>
    </row>
    <row r="99" ht="15.75" customHeight="1"/>
    <row r="100" ht="15.75" customHeight="1"/>
    <row r="101" ht="15.75" customHeight="1">
      <c r="D101" s="152"/>
    </row>
    <row r="102" ht="15.75" customHeight="1">
      <c r="D102" s="152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4">
    <mergeCell ref="A35:F35"/>
    <mergeCell ref="A42:F42"/>
    <mergeCell ref="A49:F49"/>
    <mergeCell ref="A56:F56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9.78"/>
    <col customWidth="1" min="3" max="3" width="13.33"/>
    <col customWidth="1" min="4" max="4" width="12.78"/>
    <col customWidth="1" min="5" max="9" width="9.78"/>
    <col customWidth="1" min="10" max="10" width="9.44"/>
    <col customWidth="1" min="11" max="11" width="10.56"/>
    <col customWidth="1" min="12" max="15" width="11.56"/>
    <col customWidth="1" min="16" max="16" width="11.11"/>
    <col customWidth="1" min="17" max="26" width="10.56"/>
  </cols>
  <sheetData>
    <row r="1" ht="15.75" hidden="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15.75" hidden="1" customHeight="1">
      <c r="A2" s="1">
        <v>0.03257</v>
      </c>
      <c r="B2" s="1">
        <v>0.24383</v>
      </c>
      <c r="C2" s="1">
        <v>-0.2764</v>
      </c>
      <c r="D2" s="1">
        <v>0.65646</v>
      </c>
      <c r="E2" s="1">
        <v>0.22011</v>
      </c>
      <c r="F2" s="1">
        <v>0.126</v>
      </c>
      <c r="G2" s="1">
        <v>-1.00257</v>
      </c>
      <c r="H2" s="1">
        <v>-0.73169</v>
      </c>
      <c r="I2" s="1">
        <v>-0.43716</v>
      </c>
      <c r="J2" s="1">
        <v>0.15736</v>
      </c>
      <c r="K2" s="1">
        <v>1.01148</v>
      </c>
      <c r="L2" s="1">
        <v>0.12511</v>
      </c>
      <c r="M2" s="1">
        <v>0.17428</v>
      </c>
      <c r="N2" s="1">
        <v>0.00158</v>
      </c>
      <c r="O2" s="1">
        <v>0.01689</v>
      </c>
      <c r="P2" s="1">
        <v>-0.31786</v>
      </c>
    </row>
    <row r="3" ht="15.75" customHeight="1"/>
    <row r="4" ht="15.75" customHeight="1">
      <c r="A4" s="3" t="s">
        <v>17</v>
      </c>
    </row>
    <row r="5" ht="15.75" customHeight="1">
      <c r="A5" s="3" t="s">
        <v>18</v>
      </c>
      <c r="C5" s="3" t="s">
        <v>19</v>
      </c>
      <c r="E5" s="4" t="s">
        <v>20</v>
      </c>
      <c r="F5" s="5" t="s">
        <v>21</v>
      </c>
      <c r="G5" s="1"/>
      <c r="H5" s="1"/>
      <c r="I5" s="1"/>
      <c r="J5" s="1"/>
      <c r="K5" s="1"/>
      <c r="L5" s="2"/>
    </row>
    <row r="6" ht="15.75" customHeight="1">
      <c r="A6" s="6" t="s">
        <v>0</v>
      </c>
      <c r="B6" s="6">
        <v>0.03257</v>
      </c>
      <c r="C6" s="6"/>
      <c r="D6" s="7"/>
      <c r="E6" s="8">
        <v>0.03257</v>
      </c>
      <c r="F6" s="9" t="s">
        <v>22</v>
      </c>
      <c r="G6" s="1"/>
      <c r="H6" s="1"/>
      <c r="I6" s="1"/>
      <c r="J6" s="1"/>
      <c r="K6" s="1"/>
    </row>
    <row r="7" ht="15.75" customHeight="1">
      <c r="A7" s="6" t="s">
        <v>1</v>
      </c>
      <c r="B7" s="6">
        <v>0.24383</v>
      </c>
      <c r="C7" s="6"/>
      <c r="D7" s="7"/>
      <c r="E7" s="10">
        <v>0.24383</v>
      </c>
      <c r="F7" s="9" t="s">
        <v>23</v>
      </c>
      <c r="G7" s="1"/>
      <c r="H7" s="1"/>
      <c r="I7" s="1"/>
      <c r="J7" s="1"/>
      <c r="K7" s="1"/>
    </row>
    <row r="8" ht="15.75" customHeight="1">
      <c r="A8" s="6" t="s">
        <v>2</v>
      </c>
      <c r="B8" s="11">
        <v>-0.2764</v>
      </c>
      <c r="C8" s="6">
        <f>SUM(B6:B8)</f>
        <v>0</v>
      </c>
      <c r="D8" s="7" t="str">
        <f>FORMULATEXT(C8)</f>
        <v>=SUM(B6:B8)</v>
      </c>
      <c r="E8" s="12" t="s">
        <v>24</v>
      </c>
      <c r="F8" s="9" t="s">
        <v>25</v>
      </c>
      <c r="G8" s="1"/>
      <c r="H8" s="1"/>
      <c r="I8" s="1"/>
      <c r="J8" s="1"/>
      <c r="K8" s="1"/>
    </row>
    <row r="9" ht="15.75" customHeight="1">
      <c r="A9" s="13"/>
      <c r="B9" s="13"/>
      <c r="C9" s="13"/>
      <c r="D9" s="14"/>
      <c r="E9" s="15" t="s">
        <v>20</v>
      </c>
      <c r="F9" s="5" t="s">
        <v>26</v>
      </c>
      <c r="G9" s="1"/>
      <c r="H9" s="1"/>
      <c r="I9" s="1"/>
      <c r="J9" s="1"/>
      <c r="K9" s="1"/>
    </row>
    <row r="10" ht="15.75" customHeight="1">
      <c r="A10" s="13" t="s">
        <v>3</v>
      </c>
      <c r="B10" s="13">
        <v>0.65646</v>
      </c>
      <c r="C10" s="13"/>
      <c r="D10" s="14"/>
      <c r="E10" s="16">
        <v>0.65646</v>
      </c>
      <c r="F10" s="9" t="s">
        <v>27</v>
      </c>
      <c r="G10" s="1"/>
      <c r="H10" s="1"/>
      <c r="I10" s="1"/>
      <c r="J10" s="1"/>
      <c r="K10" s="1"/>
      <c r="O10" s="2"/>
    </row>
    <row r="11" ht="15.75" customHeight="1">
      <c r="A11" s="13" t="s">
        <v>4</v>
      </c>
      <c r="B11" s="13">
        <v>0.22011</v>
      </c>
      <c r="C11" s="13"/>
      <c r="D11" s="14"/>
      <c r="E11" s="16">
        <v>0.22011</v>
      </c>
      <c r="F11" s="9" t="s">
        <v>29</v>
      </c>
      <c r="G11" s="1"/>
      <c r="H11" s="1"/>
      <c r="I11" s="1"/>
      <c r="J11" s="1"/>
      <c r="K11" s="1"/>
    </row>
    <row r="12" ht="15.75" customHeight="1">
      <c r="A12" s="13" t="s">
        <v>5</v>
      </c>
      <c r="B12" s="13">
        <v>0.126</v>
      </c>
      <c r="C12" s="13"/>
      <c r="D12" s="14"/>
      <c r="E12" s="16">
        <v>0.126</v>
      </c>
      <c r="F12" s="9" t="s">
        <v>30</v>
      </c>
      <c r="G12" s="1"/>
      <c r="H12" s="1"/>
      <c r="I12" s="1"/>
      <c r="J12" s="1"/>
      <c r="K12" s="1"/>
    </row>
    <row r="13" ht="15.75" customHeight="1">
      <c r="A13" s="13" t="s">
        <v>6</v>
      </c>
      <c r="B13" s="13">
        <v>-1.00257</v>
      </c>
      <c r="C13" s="13">
        <f>SUM(B10:B13)</f>
        <v>0</v>
      </c>
      <c r="D13" s="14" t="str">
        <f>FORMULATEXT(C13)</f>
        <v>=SUM(B10:B13)</v>
      </c>
      <c r="E13" s="16" t="s">
        <v>31</v>
      </c>
      <c r="F13" s="9" t="s">
        <v>32</v>
      </c>
      <c r="G13" s="1"/>
      <c r="H13" s="1"/>
      <c r="I13" s="1"/>
      <c r="J13" s="1"/>
      <c r="K13" s="1"/>
    </row>
    <row r="14" ht="15.75" customHeight="1">
      <c r="A14" s="17"/>
      <c r="B14" s="17"/>
      <c r="C14" s="17"/>
      <c r="D14" s="18"/>
      <c r="E14" s="15" t="s">
        <v>20</v>
      </c>
      <c r="F14" s="5" t="s">
        <v>33</v>
      </c>
      <c r="G14" s="1"/>
      <c r="H14" s="1"/>
      <c r="I14" s="1"/>
      <c r="J14" s="1"/>
      <c r="K14" s="1"/>
    </row>
    <row r="15" ht="15.75" customHeight="1">
      <c r="A15" s="17" t="s">
        <v>7</v>
      </c>
      <c r="B15" s="17">
        <v>-0.73169</v>
      </c>
      <c r="C15" s="17"/>
      <c r="D15" s="18"/>
      <c r="E15" s="16" t="s">
        <v>34</v>
      </c>
      <c r="F15" s="9" t="s">
        <v>35</v>
      </c>
      <c r="G15" s="1"/>
      <c r="H15" s="1"/>
      <c r="I15" s="1"/>
      <c r="J15" s="1"/>
      <c r="K15" s="1"/>
    </row>
    <row r="16" ht="15.75" customHeight="1">
      <c r="A16" s="17" t="s">
        <v>8</v>
      </c>
      <c r="B16" s="17">
        <v>-0.43716</v>
      </c>
      <c r="C16" s="17"/>
      <c r="D16" s="18"/>
      <c r="E16" s="16" t="s">
        <v>36</v>
      </c>
      <c r="F16" s="9" t="s">
        <v>37</v>
      </c>
      <c r="G16" s="1"/>
      <c r="H16" s="1"/>
      <c r="I16" s="1"/>
      <c r="J16" s="1"/>
      <c r="K16" s="1"/>
    </row>
    <row r="17" ht="15.75" customHeight="1">
      <c r="A17" s="17" t="s">
        <v>9</v>
      </c>
      <c r="B17" s="17">
        <v>0.15736</v>
      </c>
      <c r="C17" s="17"/>
      <c r="D17" s="18"/>
      <c r="E17" s="16">
        <v>0.15736</v>
      </c>
      <c r="F17" s="9" t="s">
        <v>38</v>
      </c>
      <c r="G17" s="1"/>
      <c r="H17" s="1"/>
      <c r="I17" s="1"/>
      <c r="J17" s="1"/>
      <c r="K17" s="1"/>
      <c r="O17" s="19"/>
    </row>
    <row r="18" ht="15.75" customHeight="1">
      <c r="A18" s="17" t="s">
        <v>10</v>
      </c>
      <c r="B18" s="17">
        <v>1.01148</v>
      </c>
      <c r="C18" s="20">
        <f>SUM(B15:B18)</f>
        <v>-0.00001</v>
      </c>
      <c r="D18" s="18" t="str">
        <f>FORMULATEXT(C18)</f>
        <v>=SUM(B15:B18)</v>
      </c>
      <c r="E18" s="16">
        <v>1.01148</v>
      </c>
      <c r="F18" s="9" t="s">
        <v>40</v>
      </c>
      <c r="G18" s="1"/>
      <c r="H18" s="1"/>
      <c r="I18" s="1"/>
      <c r="J18" s="1"/>
      <c r="K18" s="1"/>
    </row>
    <row r="19" ht="15.75" customHeight="1">
      <c r="A19" s="21"/>
      <c r="B19" s="21"/>
      <c r="C19" s="21"/>
      <c r="D19" s="22"/>
      <c r="E19" s="15" t="s">
        <v>20</v>
      </c>
      <c r="F19" s="5" t="s">
        <v>41</v>
      </c>
      <c r="G19" s="1"/>
      <c r="H19" s="1"/>
      <c r="I19" s="1"/>
      <c r="J19" s="1"/>
      <c r="K19" s="1"/>
    </row>
    <row r="20" ht="15.75" customHeight="1">
      <c r="A20" s="21" t="s">
        <v>11</v>
      </c>
      <c r="B20" s="21">
        <v>0.12511</v>
      </c>
      <c r="C20" s="21"/>
      <c r="D20" s="22"/>
      <c r="E20" s="16">
        <v>0.12511</v>
      </c>
      <c r="F20" s="9" t="s">
        <v>42</v>
      </c>
      <c r="G20" s="1"/>
      <c r="H20" s="1"/>
      <c r="I20" s="1"/>
      <c r="J20" s="1"/>
      <c r="K20" s="1"/>
    </row>
    <row r="21" ht="15.75" customHeight="1">
      <c r="A21" s="21" t="s">
        <v>12</v>
      </c>
      <c r="B21" s="21">
        <v>0.17428</v>
      </c>
      <c r="C21" s="21"/>
      <c r="D21" s="22"/>
      <c r="E21" s="16">
        <v>0.17428</v>
      </c>
      <c r="F21" s="9" t="s">
        <v>43</v>
      </c>
      <c r="G21" s="1"/>
      <c r="H21" s="1"/>
      <c r="I21" s="1"/>
      <c r="J21" s="1"/>
      <c r="K21" s="1"/>
    </row>
    <row r="22" ht="15.75" customHeight="1">
      <c r="A22" s="21" t="s">
        <v>13</v>
      </c>
      <c r="B22" s="21">
        <v>0.00158</v>
      </c>
      <c r="C22" s="21"/>
      <c r="D22" s="22"/>
      <c r="E22" s="16">
        <v>0.00158</v>
      </c>
      <c r="F22" s="9" t="s">
        <v>44</v>
      </c>
      <c r="G22" s="1"/>
      <c r="H22" s="1"/>
      <c r="I22" s="1"/>
      <c r="J22" s="1"/>
      <c r="K22" s="1"/>
      <c r="P22" s="19"/>
    </row>
    <row r="23" ht="15.75" customHeight="1">
      <c r="A23" s="21" t="s">
        <v>14</v>
      </c>
      <c r="B23" s="21">
        <v>0.01689</v>
      </c>
      <c r="C23" s="21"/>
      <c r="D23" s="22"/>
      <c r="E23" s="16">
        <v>0.01689</v>
      </c>
      <c r="F23" s="9" t="s">
        <v>45</v>
      </c>
      <c r="G23" s="1"/>
      <c r="H23" s="1"/>
      <c r="I23" s="1"/>
      <c r="J23" s="1"/>
      <c r="K23" s="1"/>
    </row>
    <row r="24" ht="15.75" customHeight="1">
      <c r="A24" s="21" t="s">
        <v>15</v>
      </c>
      <c r="B24" s="21">
        <v>-0.31786</v>
      </c>
      <c r="C24" s="21">
        <f>SUM(B20:B24)</f>
        <v>0</v>
      </c>
      <c r="D24" s="22" t="str">
        <f>FORMULATEXT(C24)</f>
        <v>=SUM(B20:B24)</v>
      </c>
      <c r="E24" s="16" t="s">
        <v>46</v>
      </c>
      <c r="F24" s="9" t="s">
        <v>47</v>
      </c>
      <c r="G24" s="1"/>
      <c r="H24" s="1"/>
      <c r="I24" s="1"/>
      <c r="J24" s="1"/>
      <c r="K24" s="1"/>
    </row>
    <row r="25" ht="15.75" customHeight="1">
      <c r="E25" s="1"/>
      <c r="F25" s="1"/>
      <c r="G25" s="1"/>
      <c r="H25" s="1"/>
      <c r="I25" s="1"/>
      <c r="J25" s="1"/>
      <c r="K25" s="1"/>
    </row>
    <row r="26" ht="15.75" customHeight="1">
      <c r="E26" s="23" t="s">
        <v>48</v>
      </c>
      <c r="F26" s="1"/>
      <c r="G26" s="1"/>
      <c r="H26" s="1"/>
      <c r="I26" s="1"/>
      <c r="J26" s="1"/>
      <c r="K26" s="1"/>
    </row>
    <row r="27" ht="15.75" customHeight="1">
      <c r="E27" s="24"/>
      <c r="F27" s="25"/>
      <c r="G27" s="25"/>
      <c r="H27" s="25"/>
      <c r="I27" s="25"/>
      <c r="J27" s="25"/>
      <c r="K27" s="25"/>
    </row>
    <row r="28" ht="15.75" customHeight="1"/>
    <row r="29" ht="15.75" customHeight="1">
      <c r="A29" s="153" t="s">
        <v>121</v>
      </c>
      <c r="B29" s="154"/>
      <c r="C29" s="154"/>
      <c r="D29" s="155"/>
      <c r="E29" s="154"/>
      <c r="F29" s="154"/>
      <c r="G29" s="154"/>
      <c r="H29" s="154"/>
      <c r="I29" s="154"/>
      <c r="J29" s="154"/>
      <c r="K29" s="154"/>
    </row>
    <row r="30" ht="15.75" customHeight="1">
      <c r="D30" s="152"/>
    </row>
    <row r="31" ht="15.75" customHeight="1">
      <c r="A31" s="156" t="s">
        <v>41</v>
      </c>
      <c r="B31" s="156" t="s">
        <v>122</v>
      </c>
      <c r="C31" s="157" t="s">
        <v>123</v>
      </c>
      <c r="D31" s="158" t="s">
        <v>124</v>
      </c>
      <c r="E31" s="156" t="s">
        <v>125</v>
      </c>
      <c r="F31" s="156" t="s">
        <v>126</v>
      </c>
    </row>
    <row r="32" ht="15.75" customHeight="1">
      <c r="A32" s="133" t="s">
        <v>127</v>
      </c>
      <c r="B32" s="159">
        <f t="shared" ref="B32:B36" si="1">round(B20,3)</f>
        <v>0.125</v>
      </c>
      <c r="C32" s="160">
        <v>27.12</v>
      </c>
      <c r="D32" s="161">
        <f t="shared" ref="D32:D36" si="2">round(B32*C32,2)</f>
        <v>3.39</v>
      </c>
      <c r="E32" s="161">
        <v>0.0</v>
      </c>
      <c r="F32" s="162">
        <f t="shared" ref="F32:F36" si="3">D32-E32</f>
        <v>3.39</v>
      </c>
    </row>
    <row r="33" ht="15.75" customHeight="1">
      <c r="A33" s="133" t="s">
        <v>128</v>
      </c>
      <c r="B33" s="159">
        <f t="shared" si="1"/>
        <v>0.174</v>
      </c>
      <c r="C33" s="160">
        <v>27.12</v>
      </c>
      <c r="D33" s="161">
        <f t="shared" si="2"/>
        <v>4.72</v>
      </c>
      <c r="E33" s="161">
        <v>3.25</v>
      </c>
      <c r="F33" s="162">
        <f t="shared" si="3"/>
        <v>1.47</v>
      </c>
    </row>
    <row r="34" ht="15.75" customHeight="1">
      <c r="A34" s="133" t="s">
        <v>129</v>
      </c>
      <c r="B34" s="159">
        <f t="shared" si="1"/>
        <v>0.002</v>
      </c>
      <c r="C34" s="160">
        <v>27.12</v>
      </c>
      <c r="D34" s="161">
        <f t="shared" si="2"/>
        <v>0.05</v>
      </c>
      <c r="E34" s="161">
        <v>10.0</v>
      </c>
      <c r="F34" s="162">
        <f t="shared" si="3"/>
        <v>-9.95</v>
      </c>
    </row>
    <row r="35" ht="15.75" customHeight="1">
      <c r="A35" s="133" t="s">
        <v>130</v>
      </c>
      <c r="B35" s="159">
        <f t="shared" si="1"/>
        <v>0.017</v>
      </c>
      <c r="C35" s="160">
        <v>27.12</v>
      </c>
      <c r="D35" s="161">
        <f t="shared" si="2"/>
        <v>0.46</v>
      </c>
      <c r="E35" s="161">
        <v>12.0</v>
      </c>
      <c r="F35" s="162">
        <f t="shared" si="3"/>
        <v>-11.54</v>
      </c>
    </row>
    <row r="36" ht="15.75" customHeight="1">
      <c r="A36" s="81" t="s">
        <v>15</v>
      </c>
      <c r="B36" s="159">
        <f t="shared" si="1"/>
        <v>-0.318</v>
      </c>
      <c r="C36" s="160">
        <v>27.12</v>
      </c>
      <c r="D36" s="161">
        <f t="shared" si="2"/>
        <v>-8.62</v>
      </c>
      <c r="E36" s="161">
        <v>0.0</v>
      </c>
      <c r="F36" s="162">
        <f t="shared" si="3"/>
        <v>-8.62</v>
      </c>
    </row>
    <row r="37" ht="15.75" customHeight="1"/>
    <row r="38" ht="15.75" customHeight="1"/>
    <row r="39" ht="15.75" customHeight="1">
      <c r="A39" s="163" t="s">
        <v>131</v>
      </c>
      <c r="B39" s="154"/>
      <c r="C39" s="154"/>
      <c r="D39" s="155"/>
      <c r="E39" s="154"/>
      <c r="F39" s="154"/>
      <c r="G39" s="154"/>
      <c r="H39" s="154"/>
      <c r="I39" s="154"/>
      <c r="J39" s="154"/>
      <c r="K39" s="154"/>
    </row>
    <row r="40" ht="15.75" customHeight="1">
      <c r="A40" s="156" t="s">
        <v>41</v>
      </c>
      <c r="B40" s="156" t="s">
        <v>132</v>
      </c>
      <c r="C40" s="157" t="s">
        <v>133</v>
      </c>
      <c r="D40" s="158" t="s">
        <v>134</v>
      </c>
      <c r="E40" s="156" t="s">
        <v>135</v>
      </c>
      <c r="F40" s="156"/>
    </row>
    <row r="41" ht="15.75" customHeight="1">
      <c r="A41" s="133" t="s">
        <v>127</v>
      </c>
      <c r="B41" s="3">
        <f t="shared" ref="B41:B42" si="4">B20-$B$24</f>
        <v>0.44297</v>
      </c>
      <c r="C41" s="93">
        <v>0.0</v>
      </c>
      <c r="D41" s="133" t="s">
        <v>136</v>
      </c>
      <c r="E41" s="133" t="s">
        <v>137</v>
      </c>
    </row>
    <row r="42" ht="15.75" customHeight="1">
      <c r="A42" s="133" t="s">
        <v>128</v>
      </c>
      <c r="B42" s="3">
        <f t="shared" si="4"/>
        <v>0.49214</v>
      </c>
      <c r="C42" s="93">
        <v>3.25</v>
      </c>
      <c r="D42" s="164">
        <f t="shared" ref="D42:D44" si="5">C42/B42</f>
        <v>6.603811923</v>
      </c>
      <c r="E42" s="133" t="s">
        <v>137</v>
      </c>
    </row>
    <row r="43" ht="15.75" customHeight="1">
      <c r="A43" s="133" t="s">
        <v>138</v>
      </c>
      <c r="B43" s="3">
        <f>B23-$B$24</f>
        <v>0.33475</v>
      </c>
      <c r="C43" s="93">
        <v>10.0</v>
      </c>
      <c r="D43" s="93">
        <f t="shared" si="5"/>
        <v>29.87303958</v>
      </c>
      <c r="E43" s="133" t="s">
        <v>139</v>
      </c>
    </row>
    <row r="44" ht="15.75" customHeight="1">
      <c r="A44" s="133" t="s">
        <v>130</v>
      </c>
      <c r="B44" s="3">
        <f>B22-$B$24</f>
        <v>0.31944</v>
      </c>
      <c r="C44" s="93">
        <v>12.0</v>
      </c>
      <c r="D44" s="93">
        <f t="shared" si="5"/>
        <v>37.56574005</v>
      </c>
      <c r="E44" s="133" t="s">
        <v>139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printOptions/>
  <pageMargins bottom="1.0" footer="0.0" header="0.0" left="0.75" right="0.75" top="1.0"/>
  <pageSetup fitToWidth="0" paperSize="8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3" width="9.78"/>
    <col customWidth="1" min="4" max="4" width="12.78"/>
    <col customWidth="1" min="5" max="9" width="9.78"/>
    <col customWidth="1" min="10" max="10" width="9.44"/>
    <col customWidth="1" min="11" max="11" width="10.56"/>
    <col customWidth="1" min="12" max="15" width="11.56"/>
    <col customWidth="1" min="16" max="16" width="11.11"/>
    <col customWidth="1" min="1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15.75" customHeight="1">
      <c r="A2" s="1">
        <v>0.03257</v>
      </c>
      <c r="B2" s="1">
        <v>0.24383</v>
      </c>
      <c r="C2" s="1">
        <v>-0.2764</v>
      </c>
      <c r="D2" s="1">
        <v>0.65646</v>
      </c>
      <c r="E2" s="1">
        <v>0.22011</v>
      </c>
      <c r="F2" s="1">
        <v>0.126</v>
      </c>
      <c r="G2" s="1">
        <v>-1.00257</v>
      </c>
      <c r="H2" s="1">
        <v>-0.73169</v>
      </c>
      <c r="I2" s="1">
        <v>-0.43716</v>
      </c>
      <c r="J2" s="1">
        <v>0.15736</v>
      </c>
      <c r="K2" s="1">
        <v>1.01148</v>
      </c>
      <c r="L2" s="1">
        <v>0.12511</v>
      </c>
      <c r="M2" s="1">
        <v>0.17428</v>
      </c>
      <c r="N2" s="1">
        <v>0.00158</v>
      </c>
      <c r="O2" s="1">
        <v>0.01689</v>
      </c>
      <c r="P2" s="1">
        <v>-0.31786</v>
      </c>
    </row>
    <row r="3" ht="15.75" customHeight="1"/>
    <row r="4" ht="15.75" customHeight="1">
      <c r="A4" s="3" t="s">
        <v>17</v>
      </c>
    </row>
    <row r="5" ht="15.75" customHeight="1">
      <c r="A5" s="3" t="s">
        <v>18</v>
      </c>
      <c r="C5" s="3" t="s">
        <v>19</v>
      </c>
      <c r="E5" s="4" t="s">
        <v>20</v>
      </c>
      <c r="F5" s="5" t="s">
        <v>21</v>
      </c>
      <c r="G5" s="1"/>
      <c r="H5" s="1"/>
      <c r="I5" s="1"/>
      <c r="J5" s="1"/>
      <c r="K5" s="1"/>
      <c r="L5" s="2" t="s">
        <v>16</v>
      </c>
    </row>
    <row r="6" ht="15.75" customHeight="1">
      <c r="A6" s="6" t="s">
        <v>0</v>
      </c>
      <c r="B6" s="6">
        <v>0.03257</v>
      </c>
      <c r="C6" s="6"/>
      <c r="D6" s="7"/>
      <c r="E6" s="8">
        <v>0.03257</v>
      </c>
      <c r="F6" s="9" t="s">
        <v>22</v>
      </c>
      <c r="G6" s="1"/>
      <c r="H6" s="1"/>
      <c r="I6" s="1"/>
      <c r="J6" s="1"/>
      <c r="K6" s="1"/>
    </row>
    <row r="7" ht="15.75" customHeight="1">
      <c r="A7" s="6" t="s">
        <v>1</v>
      </c>
      <c r="B7" s="6">
        <v>0.24383</v>
      </c>
      <c r="C7" s="6"/>
      <c r="D7" s="7"/>
      <c r="E7" s="10">
        <v>0.24383</v>
      </c>
      <c r="F7" s="9" t="s">
        <v>23</v>
      </c>
      <c r="G7" s="1"/>
      <c r="H7" s="1"/>
      <c r="I7" s="1"/>
      <c r="J7" s="1"/>
      <c r="K7" s="1"/>
    </row>
    <row r="8" ht="15.75" customHeight="1">
      <c r="A8" s="6" t="s">
        <v>2</v>
      </c>
      <c r="B8" s="11">
        <v>-0.2764</v>
      </c>
      <c r="C8" s="6">
        <f>SUM(B6:B8)</f>
        <v>0</v>
      </c>
      <c r="D8" s="7" t="str">
        <f>FORMULATEXT(C8)</f>
        <v>=SUM(B6:B8)</v>
      </c>
      <c r="E8" s="12" t="s">
        <v>24</v>
      </c>
      <c r="F8" s="9" t="s">
        <v>25</v>
      </c>
      <c r="G8" s="1"/>
      <c r="H8" s="1"/>
      <c r="I8" s="1"/>
      <c r="J8" s="1"/>
      <c r="K8" s="1"/>
    </row>
    <row r="9" ht="15.75" customHeight="1">
      <c r="A9" s="13"/>
      <c r="B9" s="13"/>
      <c r="C9" s="13"/>
      <c r="D9" s="14"/>
      <c r="E9" s="15" t="s">
        <v>20</v>
      </c>
      <c r="F9" s="5" t="s">
        <v>26</v>
      </c>
      <c r="G9" s="1"/>
      <c r="H9" s="1"/>
      <c r="I9" s="1"/>
      <c r="J9" s="1"/>
      <c r="K9" s="1"/>
    </row>
    <row r="10" ht="15.75" customHeight="1">
      <c r="A10" s="13" t="s">
        <v>3</v>
      </c>
      <c r="B10" s="13">
        <v>0.65646</v>
      </c>
      <c r="C10" s="13"/>
      <c r="D10" s="14"/>
      <c r="E10" s="16">
        <v>0.65646</v>
      </c>
      <c r="F10" s="9" t="s">
        <v>27</v>
      </c>
      <c r="G10" s="1"/>
      <c r="H10" s="1"/>
      <c r="I10" s="1"/>
      <c r="J10" s="1"/>
      <c r="K10" s="1"/>
      <c r="O10" s="2" t="s">
        <v>28</v>
      </c>
    </row>
    <row r="11" ht="15.75" customHeight="1">
      <c r="A11" s="13" t="s">
        <v>4</v>
      </c>
      <c r="B11" s="13">
        <v>0.22011</v>
      </c>
      <c r="C11" s="13"/>
      <c r="D11" s="14"/>
      <c r="E11" s="16">
        <v>0.22011</v>
      </c>
      <c r="F11" s="9" t="s">
        <v>29</v>
      </c>
      <c r="G11" s="1"/>
      <c r="H11" s="1"/>
      <c r="I11" s="1"/>
      <c r="J11" s="1"/>
      <c r="K11" s="1"/>
    </row>
    <row r="12" ht="15.75" customHeight="1">
      <c r="A12" s="13" t="s">
        <v>5</v>
      </c>
      <c r="B12" s="13">
        <v>0.126</v>
      </c>
      <c r="C12" s="13"/>
      <c r="D12" s="14"/>
      <c r="E12" s="16">
        <v>0.126</v>
      </c>
      <c r="F12" s="9" t="s">
        <v>30</v>
      </c>
      <c r="G12" s="1"/>
      <c r="H12" s="1"/>
      <c r="I12" s="1"/>
      <c r="J12" s="1"/>
      <c r="K12" s="1"/>
    </row>
    <row r="13" ht="15.75" customHeight="1">
      <c r="A13" s="13" t="s">
        <v>6</v>
      </c>
      <c r="B13" s="13">
        <v>-1.00257</v>
      </c>
      <c r="C13" s="13">
        <f>SUM(B10:B13)</f>
        <v>0</v>
      </c>
      <c r="D13" s="14" t="str">
        <f>FORMULATEXT(C13)</f>
        <v>=SUM(B10:B13)</v>
      </c>
      <c r="E13" s="16" t="s">
        <v>31</v>
      </c>
      <c r="F13" s="9" t="s">
        <v>32</v>
      </c>
      <c r="G13" s="1"/>
      <c r="H13" s="1"/>
      <c r="I13" s="1"/>
      <c r="J13" s="1"/>
      <c r="K13" s="1"/>
    </row>
    <row r="14" ht="15.75" customHeight="1">
      <c r="A14" s="17"/>
      <c r="B14" s="17"/>
      <c r="C14" s="17"/>
      <c r="D14" s="18"/>
      <c r="E14" s="15" t="s">
        <v>20</v>
      </c>
      <c r="F14" s="5" t="s">
        <v>33</v>
      </c>
      <c r="G14" s="1"/>
      <c r="H14" s="1"/>
      <c r="I14" s="1"/>
      <c r="J14" s="1"/>
      <c r="K14" s="1"/>
    </row>
    <row r="15" ht="15.75" customHeight="1">
      <c r="A15" s="17" t="s">
        <v>7</v>
      </c>
      <c r="B15" s="17">
        <v>-0.73169</v>
      </c>
      <c r="C15" s="17"/>
      <c r="D15" s="18"/>
      <c r="E15" s="16" t="s">
        <v>34</v>
      </c>
      <c r="F15" s="9" t="s">
        <v>35</v>
      </c>
      <c r="G15" s="1"/>
      <c r="H15" s="1"/>
      <c r="I15" s="1"/>
      <c r="J15" s="1"/>
      <c r="K15" s="1"/>
    </row>
    <row r="16" ht="15.75" customHeight="1">
      <c r="A16" s="17" t="s">
        <v>8</v>
      </c>
      <c r="B16" s="17">
        <v>-0.43716</v>
      </c>
      <c r="C16" s="17"/>
      <c r="D16" s="18"/>
      <c r="E16" s="16" t="s">
        <v>36</v>
      </c>
      <c r="F16" s="9" t="s">
        <v>37</v>
      </c>
      <c r="G16" s="1"/>
      <c r="H16" s="1"/>
      <c r="I16" s="1"/>
      <c r="J16" s="1"/>
      <c r="K16" s="1"/>
    </row>
    <row r="17" ht="15.75" customHeight="1">
      <c r="A17" s="17" t="s">
        <v>9</v>
      </c>
      <c r="B17" s="17">
        <v>0.15736</v>
      </c>
      <c r="C17" s="17"/>
      <c r="D17" s="18"/>
      <c r="E17" s="16">
        <v>0.15736</v>
      </c>
      <c r="F17" s="9" t="s">
        <v>38</v>
      </c>
      <c r="G17" s="1"/>
      <c r="H17" s="1"/>
      <c r="I17" s="1"/>
      <c r="J17" s="1"/>
      <c r="K17" s="1"/>
      <c r="O17" s="19" t="s">
        <v>39</v>
      </c>
    </row>
    <row r="18" ht="15.75" customHeight="1">
      <c r="A18" s="17" t="s">
        <v>10</v>
      </c>
      <c r="B18" s="17">
        <v>1.01148</v>
      </c>
      <c r="C18" s="20">
        <f>SUM(B15:B18)</f>
        <v>-0.00001</v>
      </c>
      <c r="D18" s="18" t="str">
        <f>FORMULATEXT(C18)</f>
        <v>=SUM(B15:B18)</v>
      </c>
      <c r="E18" s="16">
        <v>1.01148</v>
      </c>
      <c r="F18" s="9" t="s">
        <v>40</v>
      </c>
      <c r="G18" s="1"/>
      <c r="H18" s="1"/>
      <c r="I18" s="1"/>
      <c r="J18" s="1"/>
      <c r="K18" s="1"/>
    </row>
    <row r="19" ht="15.75" customHeight="1">
      <c r="A19" s="21"/>
      <c r="B19" s="21"/>
      <c r="C19" s="21"/>
      <c r="D19" s="22"/>
      <c r="E19" s="15" t="s">
        <v>20</v>
      </c>
      <c r="F19" s="5" t="s">
        <v>41</v>
      </c>
      <c r="G19" s="1"/>
      <c r="H19" s="1"/>
      <c r="I19" s="1"/>
      <c r="J19" s="1"/>
      <c r="K19" s="1"/>
    </row>
    <row r="20" ht="15.75" customHeight="1">
      <c r="A20" s="21" t="s">
        <v>11</v>
      </c>
      <c r="B20" s="21">
        <v>0.12511</v>
      </c>
      <c r="C20" s="21"/>
      <c r="D20" s="22"/>
      <c r="E20" s="16">
        <v>0.12511</v>
      </c>
      <c r="F20" s="9" t="s">
        <v>42</v>
      </c>
      <c r="G20" s="1"/>
      <c r="H20" s="1"/>
      <c r="I20" s="1"/>
      <c r="J20" s="1"/>
      <c r="K20" s="1"/>
    </row>
    <row r="21" ht="15.75" customHeight="1">
      <c r="A21" s="21" t="s">
        <v>12</v>
      </c>
      <c r="B21" s="21">
        <v>0.17428</v>
      </c>
      <c r="C21" s="21"/>
      <c r="D21" s="22"/>
      <c r="E21" s="16">
        <v>0.17428</v>
      </c>
      <c r="F21" s="9" t="s">
        <v>43</v>
      </c>
      <c r="G21" s="1"/>
      <c r="H21" s="1"/>
      <c r="I21" s="1"/>
      <c r="J21" s="1"/>
      <c r="K21" s="1"/>
    </row>
    <row r="22" ht="15.75" customHeight="1">
      <c r="A22" s="21" t="s">
        <v>13</v>
      </c>
      <c r="B22" s="21">
        <v>0.00158</v>
      </c>
      <c r="C22" s="21"/>
      <c r="D22" s="22"/>
      <c r="E22" s="16">
        <v>0.00158</v>
      </c>
      <c r="F22" s="9" t="s">
        <v>44</v>
      </c>
      <c r="G22" s="1"/>
      <c r="H22" s="1"/>
      <c r="I22" s="1"/>
      <c r="J22" s="1"/>
      <c r="K22" s="1"/>
      <c r="P22" s="19" t="s">
        <v>39</v>
      </c>
    </row>
    <row r="23" ht="15.75" customHeight="1">
      <c r="A23" s="21" t="s">
        <v>14</v>
      </c>
      <c r="B23" s="21">
        <v>0.01689</v>
      </c>
      <c r="C23" s="21"/>
      <c r="D23" s="22"/>
      <c r="E23" s="16">
        <v>0.01689</v>
      </c>
      <c r="F23" s="9" t="s">
        <v>45</v>
      </c>
      <c r="G23" s="1"/>
      <c r="H23" s="1"/>
      <c r="I23" s="1"/>
      <c r="J23" s="1"/>
      <c r="K23" s="1"/>
    </row>
    <row r="24" ht="15.75" customHeight="1">
      <c r="A24" s="21" t="s">
        <v>15</v>
      </c>
      <c r="B24" s="21">
        <v>-0.31786</v>
      </c>
      <c r="C24" s="21">
        <f>SUM(B20:B24)</f>
        <v>0</v>
      </c>
      <c r="D24" s="22" t="str">
        <f>FORMULATEXT(C24)</f>
        <v>=SUM(B20:B24)</v>
      </c>
      <c r="E24" s="16" t="s">
        <v>46</v>
      </c>
      <c r="F24" s="9" t="s">
        <v>47</v>
      </c>
      <c r="G24" s="1"/>
      <c r="H24" s="1"/>
      <c r="I24" s="1"/>
      <c r="J24" s="1"/>
      <c r="K24" s="1"/>
    </row>
    <row r="25" ht="15.75" customHeight="1">
      <c r="E25" s="1"/>
      <c r="F25" s="1"/>
      <c r="G25" s="1"/>
      <c r="H25" s="1"/>
      <c r="I25" s="1"/>
      <c r="J25" s="1"/>
      <c r="K25" s="1"/>
    </row>
    <row r="26" ht="15.75" customHeight="1">
      <c r="E26" s="23" t="s">
        <v>48</v>
      </c>
      <c r="F26" s="1"/>
      <c r="G26" s="1"/>
      <c r="H26" s="1"/>
      <c r="I26" s="1"/>
      <c r="J26" s="1"/>
      <c r="K26" s="1"/>
    </row>
    <row r="27" ht="15.75" customHeight="1">
      <c r="E27" s="24"/>
      <c r="F27" s="25"/>
      <c r="G27" s="25"/>
      <c r="H27" s="25"/>
      <c r="I27" s="25"/>
      <c r="J27" s="25"/>
      <c r="K27" s="25"/>
    </row>
    <row r="28" ht="15.75" customHeight="1">
      <c r="A28" s="26"/>
      <c r="B28" s="27"/>
      <c r="C28" s="28" t="s">
        <v>49</v>
      </c>
      <c r="D28" s="27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ht="15.75" customHeight="1">
      <c r="E29" s="24"/>
      <c r="F29" s="25"/>
      <c r="G29" s="25"/>
      <c r="H29" s="25"/>
      <c r="I29" s="25"/>
      <c r="J29" s="25"/>
      <c r="K29" s="25"/>
    </row>
    <row r="30" ht="15.75" customHeight="1">
      <c r="A30" s="30" t="s">
        <v>50</v>
      </c>
      <c r="C30" s="3" t="s">
        <v>51</v>
      </c>
      <c r="D30" s="31">
        <v>10.0</v>
      </c>
    </row>
    <row r="31" ht="15.75" customHeight="1">
      <c r="A31" s="30" t="s">
        <v>52</v>
      </c>
      <c r="B31" s="32" t="s">
        <v>53</v>
      </c>
      <c r="C31" s="33" t="s">
        <v>54</v>
      </c>
      <c r="D31" s="34" t="s">
        <v>55</v>
      </c>
      <c r="E31" s="35" t="s">
        <v>56</v>
      </c>
      <c r="F31" s="36" t="s">
        <v>53</v>
      </c>
      <c r="H31" s="37"/>
      <c r="I31" s="37"/>
      <c r="J31" s="37"/>
    </row>
    <row r="32" ht="15.75" customHeight="1">
      <c r="A32" s="25" t="s">
        <v>26</v>
      </c>
      <c r="B32" s="38"/>
      <c r="C32" s="39" t="s">
        <v>57</v>
      </c>
      <c r="D32" s="40">
        <v>15.0</v>
      </c>
      <c r="E32" s="41">
        <v>25.0</v>
      </c>
      <c r="F32" s="42"/>
      <c r="H32" s="43"/>
      <c r="I32" s="44"/>
      <c r="J32" s="44"/>
    </row>
    <row r="33" ht="15.75" customHeight="1">
      <c r="A33" s="45" t="s">
        <v>58</v>
      </c>
      <c r="B33" s="46" t="s">
        <v>59</v>
      </c>
      <c r="C33" s="47" t="s">
        <v>60</v>
      </c>
      <c r="D33" s="48">
        <f>B10+B15</f>
        <v>-0.07523</v>
      </c>
      <c r="E33" s="46">
        <f>B11+B15</f>
        <v>-0.51158</v>
      </c>
      <c r="F33" s="49">
        <f>-(E33-D33)/D33</f>
        <v>-5.800212681</v>
      </c>
      <c r="H33" s="43"/>
      <c r="I33" s="43"/>
      <c r="J33" s="43"/>
    </row>
    <row r="34" ht="15.75" customHeight="1">
      <c r="A34" s="45" t="s">
        <v>61</v>
      </c>
      <c r="B34" s="50" t="s">
        <v>59</v>
      </c>
      <c r="C34" s="51" t="s">
        <v>59</v>
      </c>
      <c r="D34" s="52">
        <f>D32-D30</f>
        <v>5</v>
      </c>
      <c r="E34" s="53">
        <f>E32-D30</f>
        <v>15</v>
      </c>
      <c r="F34" s="54">
        <f>(E34-D34)/D34</f>
        <v>2</v>
      </c>
      <c r="H34" s="43"/>
      <c r="I34" s="44"/>
      <c r="J34" s="44"/>
    </row>
    <row r="35" ht="33.0" customHeight="1">
      <c r="A35" s="55" t="s">
        <v>140</v>
      </c>
    </row>
    <row r="36" ht="15.75" customHeight="1"/>
    <row r="37" ht="15.75" customHeight="1">
      <c r="A37" s="30" t="s">
        <v>63</v>
      </c>
      <c r="C37" s="3" t="s">
        <v>51</v>
      </c>
      <c r="D37" s="31">
        <v>12.0</v>
      </c>
    </row>
    <row r="38" ht="15.75" customHeight="1">
      <c r="A38" s="30" t="s">
        <v>52</v>
      </c>
      <c r="B38" s="32" t="s">
        <v>53</v>
      </c>
      <c r="C38" s="33" t="s">
        <v>64</v>
      </c>
      <c r="D38" s="56" t="s">
        <v>55</v>
      </c>
      <c r="E38" s="57" t="s">
        <v>56</v>
      </c>
      <c r="F38" s="36" t="s">
        <v>53</v>
      </c>
    </row>
    <row r="39" ht="15.75" customHeight="1">
      <c r="A39" s="25" t="s">
        <v>26</v>
      </c>
      <c r="B39" s="38"/>
      <c r="C39" s="58">
        <v>15.0</v>
      </c>
      <c r="D39" s="40">
        <v>25.0</v>
      </c>
      <c r="E39" s="41">
        <v>35.0</v>
      </c>
      <c r="F39" s="42"/>
    </row>
    <row r="40" ht="15.75" customHeight="1">
      <c r="A40" s="45" t="s">
        <v>58</v>
      </c>
      <c r="B40" s="59">
        <f>-(C40-D40)/D40</f>
        <v>2.010366275</v>
      </c>
      <c r="C40" s="60">
        <f>B10+B16</f>
        <v>0.2193</v>
      </c>
      <c r="D40" s="48">
        <f>B11+B16</f>
        <v>-0.21705</v>
      </c>
      <c r="E40" s="46">
        <f>B12+B16</f>
        <v>-0.31116</v>
      </c>
      <c r="F40" s="49">
        <f>-(E40-D40)/D40</f>
        <v>-0.4335867312</v>
      </c>
    </row>
    <row r="41" ht="15.75" customHeight="1">
      <c r="A41" s="45" t="s">
        <v>61</v>
      </c>
      <c r="B41" s="61">
        <f>(C41-D41)/D41</f>
        <v>-0.7692307692</v>
      </c>
      <c r="C41" s="62">
        <f>C39-D37</f>
        <v>3</v>
      </c>
      <c r="D41" s="52">
        <f>D39-D37</f>
        <v>13</v>
      </c>
      <c r="E41" s="53">
        <f>E39-D37</f>
        <v>23</v>
      </c>
      <c r="F41" s="54">
        <f>(E41-D41)/D41</f>
        <v>0.7692307692</v>
      </c>
    </row>
    <row r="42" ht="42.75" customHeight="1">
      <c r="A42" s="63" t="s">
        <v>141</v>
      </c>
    </row>
    <row r="43" ht="15.75" customHeight="1"/>
    <row r="44" ht="15.75" customHeight="1">
      <c r="A44" s="64" t="s">
        <v>66</v>
      </c>
      <c r="B44" s="65"/>
      <c r="C44" s="65" t="s">
        <v>51</v>
      </c>
      <c r="D44" s="66">
        <v>18.0</v>
      </c>
      <c r="E44" s="65"/>
      <c r="F44" s="65"/>
      <c r="G44" s="67" t="s">
        <v>67</v>
      </c>
    </row>
    <row r="45" ht="15.75" customHeight="1">
      <c r="A45" s="68" t="s">
        <v>52</v>
      </c>
      <c r="B45" s="32" t="s">
        <v>53</v>
      </c>
      <c r="C45" s="33" t="s">
        <v>64</v>
      </c>
      <c r="D45" s="34" t="s">
        <v>55</v>
      </c>
      <c r="E45" s="35" t="s">
        <v>56</v>
      </c>
      <c r="F45" s="36" t="s">
        <v>53</v>
      </c>
      <c r="G45" s="69"/>
    </row>
    <row r="46" ht="15.75" customHeight="1">
      <c r="A46" s="70" t="s">
        <v>26</v>
      </c>
      <c r="B46" s="38" t="s">
        <v>59</v>
      </c>
      <c r="C46" s="58">
        <v>25.0</v>
      </c>
      <c r="D46" s="40">
        <v>35.0</v>
      </c>
      <c r="E46" s="41">
        <v>60.0</v>
      </c>
      <c r="F46" s="42"/>
      <c r="G46" s="69"/>
    </row>
    <row r="47" ht="15.75" customHeight="1">
      <c r="A47" s="71" t="s">
        <v>58</v>
      </c>
      <c r="B47" s="59">
        <f t="shared" ref="B47:B48" si="1">(C47-D47)/D47</f>
        <v>0.3321216827</v>
      </c>
      <c r="C47" s="60">
        <f>B17+B11</f>
        <v>0.37747</v>
      </c>
      <c r="D47" s="72">
        <f>B12+B17</f>
        <v>0.28336</v>
      </c>
      <c r="E47" s="46">
        <f>B13+B17</f>
        <v>-0.84521</v>
      </c>
      <c r="F47" s="49">
        <f t="shared" ref="F47:F48" si="2">(E47-D47)/D47</f>
        <v>-3.982813382</v>
      </c>
      <c r="G47" s="69"/>
    </row>
    <row r="48" ht="15.75" customHeight="1">
      <c r="A48" s="71" t="s">
        <v>61</v>
      </c>
      <c r="B48" s="61">
        <f t="shared" si="1"/>
        <v>-0.5882352941</v>
      </c>
      <c r="C48" s="62">
        <f>C46-D44</f>
        <v>7</v>
      </c>
      <c r="D48" s="52">
        <f>D46-D44</f>
        <v>17</v>
      </c>
      <c r="E48" s="53">
        <f>E46-D44</f>
        <v>42</v>
      </c>
      <c r="F48" s="54">
        <f t="shared" si="2"/>
        <v>1.470588235</v>
      </c>
      <c r="G48" s="69"/>
    </row>
    <row r="49" ht="33.0" customHeight="1">
      <c r="A49" s="73" t="s">
        <v>142</v>
      </c>
      <c r="B49" s="74"/>
      <c r="C49" s="74"/>
      <c r="D49" s="74"/>
      <c r="E49" s="74"/>
      <c r="F49" s="74"/>
      <c r="G49" s="75"/>
    </row>
    <row r="50" ht="15.75" customHeight="1"/>
    <row r="51" ht="15.75" customHeight="1">
      <c r="A51" s="30" t="s">
        <v>69</v>
      </c>
      <c r="C51" s="3" t="s">
        <v>51</v>
      </c>
      <c r="D51" s="31">
        <v>40.0</v>
      </c>
      <c r="H51" s="76"/>
    </row>
    <row r="52" ht="15.75" customHeight="1">
      <c r="A52" s="30" t="s">
        <v>52</v>
      </c>
      <c r="B52" s="32" t="s">
        <v>53</v>
      </c>
      <c r="C52" s="33" t="s">
        <v>54</v>
      </c>
      <c r="D52" s="34" t="s">
        <v>55</v>
      </c>
      <c r="E52" s="35" t="s">
        <v>70</v>
      </c>
      <c r="F52" s="36" t="s">
        <v>53</v>
      </c>
      <c r="H52" s="76" t="s">
        <v>71</v>
      </c>
    </row>
    <row r="53" ht="15.75" customHeight="1">
      <c r="A53" s="25" t="s">
        <v>26</v>
      </c>
      <c r="B53" s="38"/>
      <c r="C53" s="58" t="s">
        <v>72</v>
      </c>
      <c r="D53" s="40">
        <v>60.0</v>
      </c>
      <c r="E53" s="41" t="s">
        <v>59</v>
      </c>
      <c r="F53" s="77"/>
      <c r="H53" s="76"/>
    </row>
    <row r="54" ht="15.75" customHeight="1">
      <c r="A54" s="45" t="s">
        <v>58</v>
      </c>
      <c r="B54" s="46" t="s">
        <v>59</v>
      </c>
      <c r="C54" s="78" t="s">
        <v>59</v>
      </c>
      <c r="D54" s="48">
        <f>B13+B18</f>
        <v>0.00891</v>
      </c>
      <c r="E54" s="46" t="s">
        <v>59</v>
      </c>
      <c r="F54" s="78" t="s">
        <v>59</v>
      </c>
    </row>
    <row r="55" ht="15.75" customHeight="1">
      <c r="A55" s="45" t="s">
        <v>61</v>
      </c>
      <c r="B55" s="53" t="s">
        <v>59</v>
      </c>
      <c r="C55" s="79" t="s">
        <v>59</v>
      </c>
      <c r="D55" s="52">
        <f>D53-D51</f>
        <v>20</v>
      </c>
      <c r="E55" s="53" t="s">
        <v>59</v>
      </c>
      <c r="F55" s="79" t="s">
        <v>59</v>
      </c>
    </row>
    <row r="56" ht="41.25" customHeight="1">
      <c r="A56" s="63" t="s">
        <v>143</v>
      </c>
    </row>
    <row r="57" ht="15.75" customHeight="1">
      <c r="F57" s="76" t="s">
        <v>74</v>
      </c>
    </row>
    <row r="58" ht="15.75" customHeight="1"/>
    <row r="59" ht="15.75" customHeight="1"/>
    <row r="60" ht="15.75" customHeight="1">
      <c r="A60" s="26"/>
      <c r="B60" s="27"/>
      <c r="C60" s="28" t="s">
        <v>75</v>
      </c>
      <c r="D60" s="27"/>
      <c r="E60" s="2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ht="15.75" customHeight="1">
      <c r="A61" s="80" t="s">
        <v>76</v>
      </c>
    </row>
    <row r="62" ht="15.75" customHeight="1">
      <c r="A62" s="81" t="s">
        <v>77</v>
      </c>
    </row>
    <row r="63" ht="15.75" customHeight="1">
      <c r="A63" s="81" t="s">
        <v>78</v>
      </c>
      <c r="E63" s="81" t="s">
        <v>79</v>
      </c>
    </row>
    <row r="64" ht="15.75" customHeight="1">
      <c r="A64" s="81" t="s">
        <v>80</v>
      </c>
      <c r="E64" s="81" t="s">
        <v>81</v>
      </c>
    </row>
    <row r="65" ht="15.75" customHeight="1">
      <c r="A65" s="81" t="s">
        <v>82</v>
      </c>
      <c r="E65" s="81" t="s">
        <v>83</v>
      </c>
    </row>
    <row r="66" ht="15.75" customHeight="1"/>
    <row r="67" ht="15.75" customHeight="1">
      <c r="A67" s="80" t="s">
        <v>84</v>
      </c>
    </row>
    <row r="68" ht="15.75" customHeight="1">
      <c r="A68" s="81" t="s">
        <v>85</v>
      </c>
    </row>
    <row r="69" ht="15.75" customHeight="1"/>
    <row r="70" ht="15.75" customHeight="1">
      <c r="A70" s="82" t="s">
        <v>86</v>
      </c>
      <c r="B70" s="83" t="s">
        <v>20</v>
      </c>
      <c r="C70" s="83" t="s">
        <v>87</v>
      </c>
      <c r="D70" s="84" t="s">
        <v>88</v>
      </c>
    </row>
    <row r="71" ht="15.75" customHeight="1">
      <c r="A71" s="85" t="s">
        <v>89</v>
      </c>
      <c r="B71" s="81">
        <v>-0.732</v>
      </c>
      <c r="C71" s="81" t="s">
        <v>90</v>
      </c>
      <c r="D71" s="86">
        <v>0.0</v>
      </c>
    </row>
    <row r="72" ht="15.75" customHeight="1">
      <c r="A72" s="85" t="s">
        <v>91</v>
      </c>
      <c r="B72" s="81">
        <v>-0.437</v>
      </c>
      <c r="C72" s="81">
        <f>B72-B71</f>
        <v>0.295</v>
      </c>
      <c r="D72" s="87">
        <f t="shared" ref="D72:D74" si="3">C72*27.12</f>
        <v>8.0004</v>
      </c>
    </row>
    <row r="73" ht="15.75" customHeight="1">
      <c r="A73" s="85" t="s">
        <v>92</v>
      </c>
      <c r="B73" s="3">
        <f>0.157</f>
        <v>0.157</v>
      </c>
      <c r="C73" s="81">
        <f>B73-B71</f>
        <v>0.889</v>
      </c>
      <c r="D73" s="87">
        <f t="shared" si="3"/>
        <v>24.10968</v>
      </c>
    </row>
    <row r="74" ht="15.75" customHeight="1">
      <c r="A74" s="88" t="s">
        <v>93</v>
      </c>
      <c r="B74" s="89">
        <v>1.011</v>
      </c>
      <c r="C74" s="89">
        <f>B74-B71</f>
        <v>1.743</v>
      </c>
      <c r="D74" s="90">
        <f t="shared" si="3"/>
        <v>47.27016</v>
      </c>
    </row>
    <row r="75" ht="15.75" customHeight="1"/>
    <row r="76" ht="15.75" customHeight="1">
      <c r="A76" s="80" t="s">
        <v>94</v>
      </c>
    </row>
    <row r="77" ht="15.75" customHeight="1"/>
    <row r="78" ht="15.75" customHeight="1">
      <c r="A78" s="82" t="s">
        <v>86</v>
      </c>
      <c r="B78" s="83" t="s">
        <v>95</v>
      </c>
      <c r="C78" s="83" t="s">
        <v>96</v>
      </c>
      <c r="D78" s="83" t="s">
        <v>88</v>
      </c>
      <c r="E78" s="84" t="s">
        <v>97</v>
      </c>
      <c r="G78" s="81" t="s">
        <v>98</v>
      </c>
    </row>
    <row r="79" ht="15.75" customHeight="1">
      <c r="A79" s="85" t="s">
        <v>89</v>
      </c>
      <c r="B79" s="91">
        <v>15.0</v>
      </c>
      <c r="C79" s="91">
        <v>0.0</v>
      </c>
      <c r="D79" s="92">
        <v>0.0</v>
      </c>
      <c r="E79" s="86">
        <v>0.0</v>
      </c>
      <c r="G79" s="81" t="s">
        <v>99</v>
      </c>
    </row>
    <row r="80" ht="15.75" customHeight="1">
      <c r="A80" s="85" t="s">
        <v>91</v>
      </c>
      <c r="B80" s="91">
        <v>25.0</v>
      </c>
      <c r="C80" s="91">
        <f>B80-B79</f>
        <v>10</v>
      </c>
      <c r="D80" s="93">
        <v>8.0</v>
      </c>
      <c r="E80" s="87">
        <f t="shared" ref="E80:E82" si="4">D80-C80</f>
        <v>-2</v>
      </c>
      <c r="F80" s="81" t="s">
        <v>100</v>
      </c>
    </row>
    <row r="81" ht="15.75" customHeight="1">
      <c r="A81" s="85" t="s">
        <v>92</v>
      </c>
      <c r="B81" s="91">
        <v>35.0</v>
      </c>
      <c r="C81" s="91">
        <f>B81-B79</f>
        <v>20</v>
      </c>
      <c r="D81" s="93">
        <v>24.12</v>
      </c>
      <c r="E81" s="87">
        <f t="shared" si="4"/>
        <v>4.12</v>
      </c>
      <c r="F81" s="81" t="s">
        <v>101</v>
      </c>
    </row>
    <row r="82" ht="15.75" customHeight="1">
      <c r="A82" s="88" t="s">
        <v>93</v>
      </c>
      <c r="B82" s="94">
        <v>60.0</v>
      </c>
      <c r="C82" s="94">
        <f>B82-B79</f>
        <v>45</v>
      </c>
      <c r="D82" s="95">
        <v>47.28</v>
      </c>
      <c r="E82" s="90">
        <f t="shared" si="4"/>
        <v>2.28</v>
      </c>
      <c r="F82" s="81" t="s">
        <v>101</v>
      </c>
    </row>
    <row r="83" ht="15.75" customHeight="1"/>
    <row r="84" ht="15.75" customHeight="1">
      <c r="A84" s="80" t="s">
        <v>102</v>
      </c>
    </row>
    <row r="85" ht="15.75" customHeight="1"/>
    <row r="86" ht="15.75" customHeight="1">
      <c r="A86" s="96" t="s">
        <v>86</v>
      </c>
      <c r="B86" s="97" t="s">
        <v>103</v>
      </c>
      <c r="C86" s="97" t="s">
        <v>95</v>
      </c>
      <c r="D86" s="98" t="s">
        <v>104</v>
      </c>
      <c r="E86" s="99" t="s">
        <v>105</v>
      </c>
      <c r="F86" s="99" t="s">
        <v>103</v>
      </c>
      <c r="G86" s="100" t="s">
        <v>53</v>
      </c>
    </row>
    <row r="87" ht="15.75" customHeight="1">
      <c r="A87" s="85" t="s">
        <v>89</v>
      </c>
      <c r="B87" s="101">
        <f t="shared" ref="B87:B90" si="5">C87-D87</f>
        <v>5</v>
      </c>
      <c r="C87" s="102">
        <v>15.0</v>
      </c>
      <c r="D87" s="91">
        <v>10.0</v>
      </c>
      <c r="E87" s="103">
        <v>15.0</v>
      </c>
      <c r="F87" s="104">
        <f t="shared" ref="F87:F90" si="6">E87-D87</f>
        <v>5</v>
      </c>
      <c r="G87" s="105">
        <f t="shared" ref="G87:G90" si="7">(F87-B87)/B87</f>
        <v>0</v>
      </c>
    </row>
    <row r="88" ht="15.75" customHeight="1">
      <c r="A88" s="85" t="s">
        <v>91</v>
      </c>
      <c r="B88" s="101">
        <f t="shared" si="5"/>
        <v>13</v>
      </c>
      <c r="C88" s="102">
        <v>25.0</v>
      </c>
      <c r="D88" s="91">
        <v>12.0</v>
      </c>
      <c r="E88" s="103">
        <v>23.0</v>
      </c>
      <c r="F88" s="104">
        <f t="shared" si="6"/>
        <v>11</v>
      </c>
      <c r="G88" s="106">
        <f t="shared" si="7"/>
        <v>-0.1538461538</v>
      </c>
    </row>
    <row r="89" ht="15.75" customHeight="1">
      <c r="A89" s="85" t="s">
        <v>92</v>
      </c>
      <c r="B89" s="101">
        <f t="shared" si="5"/>
        <v>17</v>
      </c>
      <c r="C89" s="102">
        <v>35.0</v>
      </c>
      <c r="D89" s="91">
        <v>18.0</v>
      </c>
      <c r="E89" s="103">
        <v>40.0</v>
      </c>
      <c r="F89" s="104">
        <f t="shared" si="6"/>
        <v>22</v>
      </c>
      <c r="G89" s="107">
        <f t="shared" si="7"/>
        <v>0.2941176471</v>
      </c>
    </row>
    <row r="90" ht="15.75" customHeight="1">
      <c r="A90" s="88" t="s">
        <v>93</v>
      </c>
      <c r="B90" s="108">
        <f t="shared" si="5"/>
        <v>20</v>
      </c>
      <c r="C90" s="109">
        <v>60.0</v>
      </c>
      <c r="D90" s="94">
        <v>40.0</v>
      </c>
      <c r="E90" s="110">
        <v>62.0</v>
      </c>
      <c r="F90" s="111">
        <f t="shared" si="6"/>
        <v>22</v>
      </c>
      <c r="G90" s="112">
        <f t="shared" si="7"/>
        <v>0.1</v>
      </c>
    </row>
    <row r="91" ht="15.75" customHeight="1"/>
    <row r="92" ht="15.75" customHeight="1"/>
    <row r="93" ht="15.75" customHeight="1">
      <c r="A93" s="80" t="s">
        <v>106</v>
      </c>
      <c r="B93" s="113"/>
      <c r="C93" s="113"/>
    </row>
    <row r="94" ht="15.75" customHeight="1">
      <c r="A94" s="96" t="s">
        <v>86</v>
      </c>
      <c r="B94" s="114" t="s">
        <v>107</v>
      </c>
      <c r="C94" s="115" t="s">
        <v>108</v>
      </c>
      <c r="D94" s="97" t="s">
        <v>109</v>
      </c>
      <c r="E94" s="97" t="s">
        <v>103</v>
      </c>
      <c r="F94" s="97" t="s">
        <v>95</v>
      </c>
      <c r="G94" s="98" t="s">
        <v>104</v>
      </c>
      <c r="H94" s="165" t="s">
        <v>105</v>
      </c>
      <c r="I94" s="99" t="s">
        <v>103</v>
      </c>
      <c r="J94" s="116" t="s">
        <v>110</v>
      </c>
      <c r="K94" s="99" t="s">
        <v>109</v>
      </c>
      <c r="L94" s="117" t="s">
        <v>111</v>
      </c>
      <c r="M94" s="118" t="s">
        <v>112</v>
      </c>
      <c r="N94" s="119" t="s">
        <v>113</v>
      </c>
      <c r="P94" s="119" t="s">
        <v>114</v>
      </c>
      <c r="Q94" s="119" t="s">
        <v>115</v>
      </c>
      <c r="R94" s="119" t="s">
        <v>116</v>
      </c>
      <c r="S94" s="119" t="s">
        <v>117</v>
      </c>
      <c r="T94" s="81" t="s">
        <v>110</v>
      </c>
    </row>
    <row r="95" ht="15.75" customHeight="1">
      <c r="A95" s="85" t="s">
        <v>89</v>
      </c>
      <c r="B95" s="120">
        <f t="shared" ref="B95:B98" si="8">B15</f>
        <v>-0.73169</v>
      </c>
      <c r="C95" s="121">
        <f t="shared" ref="C95:C98" si="9">B10</f>
        <v>0.65646</v>
      </c>
      <c r="D95" s="122">
        <f t="shared" ref="D95:D98" si="10">B95+C95</f>
        <v>-0.07523</v>
      </c>
      <c r="E95" s="123">
        <f t="shared" ref="E95:E98" si="11">F95-G95</f>
        <v>5</v>
      </c>
      <c r="F95" s="124">
        <v>15.0</v>
      </c>
      <c r="G95" s="125">
        <v>10.0</v>
      </c>
      <c r="H95" s="166">
        <v>15.0</v>
      </c>
      <c r="I95" s="127">
        <f t="shared" ref="I95:I98" si="12">H95-G95</f>
        <v>5</v>
      </c>
      <c r="J95" s="128">
        <f t="shared" ref="J95:J98" si="13">T95</f>
        <v>0.65646</v>
      </c>
      <c r="K95" s="129">
        <f t="shared" ref="K95:K98" si="14">B95+J95</f>
        <v>-0.07523</v>
      </c>
      <c r="L95" s="130">
        <f t="shared" ref="L95:L98" si="15">(K95-D95)/(abs(D95))</f>
        <v>0</v>
      </c>
      <c r="M95" s="131">
        <f t="shared" ref="M95:M98" si="16">(I95-E95)/E95</f>
        <v>0</v>
      </c>
      <c r="N95" s="160" t="s">
        <v>118</v>
      </c>
      <c r="P95" s="3">
        <f t="shared" ref="P95:P98" si="17">B10</f>
        <v>0.65646</v>
      </c>
      <c r="Q95" s="132">
        <f t="shared" ref="Q95:Q98" si="18">F95</f>
        <v>15</v>
      </c>
      <c r="R95" s="132">
        <f t="shared" ref="R95:R98" si="19">H95</f>
        <v>15</v>
      </c>
      <c r="S95" s="133">
        <v>0.03687</v>
      </c>
      <c r="T95" s="134">
        <f t="shared" ref="T95:T98" si="20">P95+(Q95-R95)*S95</f>
        <v>0.65646</v>
      </c>
    </row>
    <row r="96" ht="15.75" customHeight="1">
      <c r="A96" s="85" t="s">
        <v>91</v>
      </c>
      <c r="B96" s="120">
        <f t="shared" si="8"/>
        <v>-0.43716</v>
      </c>
      <c r="C96" s="121">
        <f t="shared" si="9"/>
        <v>0.22011</v>
      </c>
      <c r="D96" s="122">
        <f t="shared" si="10"/>
        <v>-0.21705</v>
      </c>
      <c r="E96" s="123">
        <f t="shared" si="11"/>
        <v>13</v>
      </c>
      <c r="F96" s="124">
        <v>25.0</v>
      </c>
      <c r="G96" s="125">
        <v>12.0</v>
      </c>
      <c r="H96" s="166">
        <v>23.0</v>
      </c>
      <c r="I96" s="127">
        <f t="shared" si="12"/>
        <v>11</v>
      </c>
      <c r="J96" s="128">
        <f t="shared" si="13"/>
        <v>0.29385</v>
      </c>
      <c r="K96" s="129">
        <f t="shared" si="14"/>
        <v>-0.14331</v>
      </c>
      <c r="L96" s="135">
        <f t="shared" si="15"/>
        <v>0.3397373877</v>
      </c>
      <c r="M96" s="136">
        <f t="shared" si="16"/>
        <v>-0.1538461538</v>
      </c>
      <c r="N96" s="160" t="s">
        <v>119</v>
      </c>
      <c r="P96" s="3">
        <f t="shared" si="17"/>
        <v>0.22011</v>
      </c>
      <c r="Q96" s="132">
        <f t="shared" si="18"/>
        <v>25</v>
      </c>
      <c r="R96" s="132">
        <f t="shared" si="19"/>
        <v>23</v>
      </c>
      <c r="S96" s="133">
        <v>0.03687</v>
      </c>
      <c r="T96" s="134">
        <f t="shared" si="20"/>
        <v>0.29385</v>
      </c>
    </row>
    <row r="97" ht="15.75" customHeight="1">
      <c r="A97" s="85" t="s">
        <v>92</v>
      </c>
      <c r="B97" s="120">
        <f t="shared" si="8"/>
        <v>0.15736</v>
      </c>
      <c r="C97" s="121">
        <f t="shared" si="9"/>
        <v>0.126</v>
      </c>
      <c r="D97" s="122">
        <f t="shared" si="10"/>
        <v>0.28336</v>
      </c>
      <c r="E97" s="123">
        <f t="shared" si="11"/>
        <v>17</v>
      </c>
      <c r="F97" s="124">
        <v>35.0</v>
      </c>
      <c r="G97" s="125">
        <v>18.0</v>
      </c>
      <c r="H97" s="166">
        <v>39.0</v>
      </c>
      <c r="I97" s="127">
        <f t="shared" si="12"/>
        <v>21</v>
      </c>
      <c r="J97" s="128">
        <f t="shared" si="13"/>
        <v>-0.02148</v>
      </c>
      <c r="K97" s="129">
        <f t="shared" si="14"/>
        <v>0.13588</v>
      </c>
      <c r="L97" s="138">
        <f t="shared" si="15"/>
        <v>-0.5204686618</v>
      </c>
      <c r="M97" s="139">
        <f t="shared" si="16"/>
        <v>0.2352941176</v>
      </c>
      <c r="N97" s="160" t="s">
        <v>120</v>
      </c>
      <c r="P97" s="3">
        <f t="shared" si="17"/>
        <v>0.126</v>
      </c>
      <c r="Q97" s="132">
        <f t="shared" si="18"/>
        <v>35</v>
      </c>
      <c r="R97" s="132">
        <f t="shared" si="19"/>
        <v>39</v>
      </c>
      <c r="S97" s="133">
        <v>0.03687</v>
      </c>
      <c r="T97" s="134">
        <f t="shared" si="20"/>
        <v>-0.02148</v>
      </c>
    </row>
    <row r="98" ht="15.75" customHeight="1">
      <c r="A98" s="88" t="s">
        <v>93</v>
      </c>
      <c r="B98" s="140">
        <f t="shared" si="8"/>
        <v>1.01148</v>
      </c>
      <c r="C98" s="141">
        <f t="shared" si="9"/>
        <v>-1.00257</v>
      </c>
      <c r="D98" s="142">
        <f t="shared" si="10"/>
        <v>0.00891</v>
      </c>
      <c r="E98" s="143">
        <f t="shared" si="11"/>
        <v>20</v>
      </c>
      <c r="F98" s="144">
        <v>60.0</v>
      </c>
      <c r="G98" s="145">
        <v>40.0</v>
      </c>
      <c r="H98" s="167">
        <v>60.0</v>
      </c>
      <c r="I98" s="147">
        <f t="shared" si="12"/>
        <v>20</v>
      </c>
      <c r="J98" s="148">
        <f t="shared" si="13"/>
        <v>-1.00257</v>
      </c>
      <c r="K98" s="149">
        <f t="shared" si="14"/>
        <v>0.00891</v>
      </c>
      <c r="L98" s="150">
        <f t="shared" si="15"/>
        <v>0</v>
      </c>
      <c r="M98" s="151">
        <f t="shared" si="16"/>
        <v>0</v>
      </c>
      <c r="N98" s="160" t="s">
        <v>118</v>
      </c>
      <c r="P98" s="3">
        <f t="shared" si="17"/>
        <v>-1.00257</v>
      </c>
      <c r="Q98" s="132">
        <f t="shared" si="18"/>
        <v>60</v>
      </c>
      <c r="R98" s="132">
        <f t="shared" si="19"/>
        <v>60</v>
      </c>
      <c r="S98" s="133">
        <v>0.03687</v>
      </c>
      <c r="T98" s="134">
        <f t="shared" si="20"/>
        <v>-1.00257</v>
      </c>
    </row>
    <row r="99" ht="15.75" customHeight="1"/>
    <row r="100" ht="15.75" customHeight="1"/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">
    <mergeCell ref="A35:F35"/>
    <mergeCell ref="A42:F42"/>
    <mergeCell ref="A49:F49"/>
    <mergeCell ref="A56:F56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2026-03-10T22:42:06Z</dcterms:created>
  <dc:creator>Hannah Villasis</dc:creator>
</cp:coreProperties>
</file>